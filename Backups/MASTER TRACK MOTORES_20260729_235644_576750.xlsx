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https://shiftup-my.sharepoint.com/personal/ta56637_stellantis_com/Documents/"/>
    </mc:Choice>
  </mc:AlternateContent>
  <xr:revisionPtr revIDLastSave="1378" documentId="8_{470F60DF-A3DD-4FF8-ADAF-AC5A428E2324}" xr6:coauthVersionLast="47" xr6:coauthVersionMax="47" xr10:uidLastSave="{BB9750F7-D5DF-4BB4-B09A-EEAEC05F36B8}"/>
  <bookViews>
    <workbookView xWindow="23880" yWindow="-120" windowWidth="24240" windowHeight="13140" xr2:uid="{0A30FD81-4B3E-4A8C-8D33-8169F2BE5A0D}"/>
  </bookViews>
  <sheets>
    <sheet name="Engines DEP KEP" sheetId="1" r:id="rId1"/>
    <sheet name="RDM ESTATUS I" sheetId="2" r:id="rId2"/>
  </sheets>
  <definedNames>
    <definedName name="_xlnm._FilterDatabase" localSheetId="1" hidden="1">'RDM ESTATUS I'!$A$3:$D$23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2" i="2" l="1"/>
  <c r="M9" i="2" l="1"/>
  <c r="L9" i="2" l="1"/>
  <c r="P10" i="2" s="1"/>
  <c r="D22" i="2"/>
  <c r="C22" i="2"/>
  <c r="H23" i="2" l="1"/>
</calcChain>
</file>

<file path=xl/sharedStrings.xml><?xml version="1.0" encoding="utf-8"?>
<sst xmlns="http://schemas.openxmlformats.org/spreadsheetml/2006/main" count="653" uniqueCount="262">
  <si>
    <t xml:space="preserve">MODEL </t>
  </si>
  <si>
    <t>PN</t>
  </si>
  <si>
    <t>Supplier</t>
  </si>
  <si>
    <t>TRACEABILITY</t>
  </si>
  <si>
    <t>NO. MOTORS</t>
  </si>
  <si>
    <t>VIN</t>
  </si>
  <si>
    <t>NCT</t>
  </si>
  <si>
    <t>SDA/ RMA</t>
  </si>
  <si>
    <t>DTC</t>
  </si>
  <si>
    <t xml:space="preserve">ISSUE </t>
  </si>
  <si>
    <t>Location</t>
  </si>
  <si>
    <t>Comments</t>
  </si>
  <si>
    <t>Disposition</t>
  </si>
  <si>
    <t>ICA</t>
  </si>
  <si>
    <t>RCA</t>
  </si>
  <si>
    <t>PCA</t>
  </si>
  <si>
    <t>Comments2</t>
  </si>
  <si>
    <t>KM</t>
  </si>
  <si>
    <t>68623468AE</t>
  </si>
  <si>
    <t>DEP</t>
  </si>
  <si>
    <t>/</t>
  </si>
  <si>
    <t>FOUND BEFORE VIN</t>
  </si>
  <si>
    <t>GIM</t>
  </si>
  <si>
    <t>SDA: RLD20260726-01</t>
  </si>
  <si>
    <t>N/A</t>
  </si>
  <si>
    <t xml:space="preserve">Residual coolant dropping over the engine after DEP hot test causing corrosion inside the connectors </t>
  </si>
  <si>
    <t xml:space="preserve">REWORK </t>
  </si>
  <si>
    <t>Issue follow by PQE, DRE and DEP quality team</t>
  </si>
  <si>
    <t xml:space="preserve">DEP increase coolant evacuation time tio stract the resudual antifreeze from the engines, </t>
  </si>
  <si>
    <t xml:space="preserve">Engine desing does not allow to remove all coolant after hot test, engine needs to be tilt in order to take out all the liquid from the engine </t>
  </si>
  <si>
    <t>PENDING</t>
  </si>
  <si>
    <t>SDA: RLD20260726-02</t>
  </si>
  <si>
    <t xml:space="preserve"> AC Compressor connector Idamaged</t>
  </si>
  <si>
    <t>Quality team to propose a new tape location for proposal 
DEP Supplier to implement the change on the tape location</t>
  </si>
  <si>
    <t>PER as successful, we didn’t identify a risk of damage and the hanking keeps without a problem until connection point</t>
  </si>
  <si>
    <t>TIAP1134610582</t>
  </si>
  <si>
    <t>TT245950</t>
  </si>
  <si>
    <t>SDA: RLD20260726-03</t>
  </si>
  <si>
    <t>68623468AE &amp; traceability: TIAP1134610582) with hose (PN: 68619926AB) fully disconnected.EVAP system</t>
  </si>
  <si>
    <t xml:space="preserve">Issue  detected during inspection at TAP  after warranty report </t>
  </si>
  <si>
    <t xml:space="preserve">KM </t>
  </si>
  <si>
    <t>RMA: RLD20260726-04</t>
  </si>
  <si>
    <t>LOW OIL LEVEL</t>
  </si>
  <si>
    <t xml:space="preserve">QUARENTINE </t>
  </si>
  <si>
    <t>Issue reviewed by ST Team</t>
  </si>
  <si>
    <t xml:space="preserve">RETURN </t>
  </si>
  <si>
    <t>TIAP1298510021</t>
  </si>
  <si>
    <t>RLD20260521-02</t>
  </si>
  <si>
    <t>KM ENGINE ASSY -1.6L AUTO TRANS GAS, on 05/21/2026, at dress engine station, was 
found by the team member with a crack at the PTU module mounting bore 
for TIAP1298510021.</t>
  </si>
  <si>
    <t>TIAP1111610050</t>
  </si>
  <si>
    <t>SDA: RLD20260726-05</t>
  </si>
  <si>
    <t>KM:DISCONNECT IN THE INLET AND OUTLET HOSE, FROM THE TURBO SYSTEM TO
THE THERMOSTAT.</t>
  </si>
  <si>
    <t xml:space="preserve">TIAP1114610469
TIAP1114610813 </t>
  </si>
  <si>
    <t>RLD20260605-01</t>
  </si>
  <si>
    <t>KM ENGINE ALIGNMENT BUSHING WITH EXTRA SCREW</t>
  </si>
  <si>
    <t>TIAP1118610449</t>
  </si>
  <si>
    <t xml:space="preserve"> RMA/ SDA: RLD20260726-17</t>
  </si>
  <si>
    <t>WITH OIL LEAK AND A/C GAS LEAK</t>
  </si>
  <si>
    <t>???</t>
  </si>
  <si>
    <t>RETURN</t>
  </si>
  <si>
    <t>I was told this was to be repaired. Is it a repair or a pull?</t>
  </si>
  <si>
    <t>TIAP1106610946</t>
  </si>
  <si>
    <t>RDL20260604-01</t>
  </si>
  <si>
    <t xml:space="preserve"> </t>
  </si>
  <si>
    <t>WITH OIL LEAK</t>
  </si>
  <si>
    <t>Part had improper / incomplete braze - Supplier mis-handled defective part at their water leak test. Dry leak test had a sensor that became demounted allowing an untested part to move to finished goods area.</t>
  </si>
  <si>
    <t>MP</t>
  </si>
  <si>
    <r>
      <rPr>
        <strike/>
        <sz val="11"/>
        <color rgb="FF000000"/>
        <rFont val="Aptos Narrow"/>
        <scheme val="minor"/>
      </rPr>
      <t xml:space="preserve">DEP </t>
    </r>
    <r>
      <rPr>
        <sz val="11"/>
        <color rgb="FF000000"/>
        <rFont val="Aptos Narrow"/>
        <scheme val="minor"/>
      </rPr>
      <t xml:space="preserve"> DEP does not supply MP</t>
    </r>
  </si>
  <si>
    <t>T236A141510581</t>
  </si>
  <si>
    <t>REWORK</t>
  </si>
  <si>
    <t>P051C Crankcase Pressure Sensor A Circuit Low
P051C Crankcase Pressure Sensor A Circuit Low</t>
  </si>
  <si>
    <t xml:space="preserve">MP, ENGINE PRESSURE SENSOR-CRANKCASE, WITH FAILURE DTC 
"P051CCRANKCASE PRESSURE SENSOR A CIRCUIT LOW" </t>
  </si>
  <si>
    <t>This is not a DEP component</t>
  </si>
  <si>
    <t>TIAP105461049
TIAP1121610561</t>
  </si>
  <si>
    <t>245943
281000</t>
  </si>
  <si>
    <t>SDA/ RMA: RLD20260726-06 If engines are pulled. Engineering insists this is a calibration issue, and vehicles need to be driven, then clear codes.</t>
  </si>
  <si>
    <t>P2F71-00-ENGINE OIL CONTROL VALVE CONTROL CIRCUIT PERFORMANCE</t>
  </si>
  <si>
    <t>AUTO TRANS GAS, WITH INTERNAL FAILURE CODE
"0X2F7100 - ENGINE OIL CONTROL VALVE CONTROL CIRCUIT PERFORMANCE".
REPORTED AT MAYOR REPAIR AREA DETECTED AT ROLLS TEST</t>
  </si>
  <si>
    <t>VVT Response normal at E-Check</t>
  </si>
  <si>
    <t>TIAP1100610829</t>
  </si>
  <si>
    <t>RLD20260726-07</t>
  </si>
  <si>
    <t>P0339 Crankshaft Position Sensor Intermittent</t>
  </si>
  <si>
    <t>KM VIN 230641 WITH ACTIVE FAULTS +EPCM033900 P0339 CRANKSHAFT
POSITION SENSOR INTERMITTENT-</t>
  </si>
  <si>
    <t>Crank signal normal at E-Check</t>
  </si>
  <si>
    <t>TIAP1126610136
TIAP1125610858</t>
  </si>
  <si>
    <t>283256
255556</t>
  </si>
  <si>
    <t>Neither of these were dyno tested.
Request to not pull engine - Prodcut engineering contacted for assistance.
RLD20260726-08</t>
  </si>
  <si>
    <t>EPCM2C7F00 P2C7F
TURBOCHARGER TURBINE INLET VALVE POSITION SENSOR EXCEEDED LEARNING
LIMIT-</t>
  </si>
  <si>
    <t>KM VIN 283256 255556 WITH ACTIVE FAULTS +EPCM2C7F00 P2C7F
TURBOCHARGER TURBINE INLET VALVE POSITION SENSOR EXCEEDED LEARNING
LIMIT-</t>
  </si>
  <si>
    <t>KEP</t>
  </si>
  <si>
    <t>WITH MISSING HOOSE</t>
  </si>
  <si>
    <t>TIAP1121610683
TIAP1121610681</t>
  </si>
  <si>
    <t xml:space="preserve">243667 
273529 </t>
  </si>
  <si>
    <t>SDA: RLD20260726-09</t>
  </si>
  <si>
    <t>COOLANT LEAK AT THE QUICK CONNECT AT INSPECTION OF THE PART ITS VISIBLE THAT THE METAL CLIP ITS NOT COMPLETELY SETTLED ALSO THE PLASTIC HOSE.</t>
  </si>
  <si>
    <t>/
TIAP1121610135
/</t>
  </si>
  <si>
    <t>281063
221567
257968</t>
  </si>
  <si>
    <t xml:space="preserve">COOLANT LEAK DUE TO LOOSE ENGINE COOLANT HOSES </t>
  </si>
  <si>
    <t>TIAP1125610376</t>
  </si>
  <si>
    <t xml:space="preserve">Not dyno tested
"Request to not pull engine - Prodcut engineering contacted for assistance. RLD20260618-03 </t>
  </si>
  <si>
    <t>P2C7F Turbocharger Turbine Inlet Valve Position Sensor Exceeded Learning Limit-</t>
  </si>
  <si>
    <t>KM:INOPERATIVE TURBOCHARGER TURBINE. ENGINE WITH INTERNAL FAILURE (TUR
BOCHARGER TURBINE INLET VALVE POSITION SENSOR EXCEEDED LEARNING LIMIT)
VIN 205516</t>
  </si>
  <si>
    <t>PFS has this VIN listed as an MP, so not a DEP engine.</t>
  </si>
  <si>
    <t>TBD</t>
  </si>
  <si>
    <t xml:space="preserve">WITH INTERNAL FAILURE, CRANKSHAFT POSITION SENSOR INTERMITTENT </t>
  </si>
  <si>
    <t>QUARENTINE</t>
  </si>
  <si>
    <t>Identification is pending by production</t>
  </si>
  <si>
    <t>TIAP1118610799</t>
  </si>
  <si>
    <t>Expect this to hae been a deoiler issue. Engine should not have been pulled. Requested a deoiler swap on this engine previous. If it is pulled, RMA is RLD20260618-01</t>
  </si>
  <si>
    <t>P052E Positive Crankcase Ventilation Regulation Valve Performance</t>
  </si>
  <si>
    <t>KM vehicle exhibiting a significant amount of smoke coming from the exhaust, along with visible liquid discharge also exiting through the exhaust pipe.</t>
  </si>
  <si>
    <t>TIAP1114610520</t>
  </si>
  <si>
    <t>Requested deoiler to be swapped out. No further info supplied back to DEP. SDA or RMA if alreayd pulled is RLD20260726-10</t>
  </si>
  <si>
    <t>BSR</t>
  </si>
  <si>
    <t xml:space="preserve">Noisy motor </t>
  </si>
  <si>
    <t xml:space="preserve">VOID NCT </t>
  </si>
  <si>
    <t>NC VOID REMARKS. IGNACIO ROMERO DUPLICATE TICKET 26601227 FOR THE SAME ISSUE.KM ,VIN 288679 MAKING NOISE UPON STARTUP</t>
  </si>
  <si>
    <t>T025W1196M0885</t>
  </si>
  <si>
    <t>What is component listed for traceability. Not an engine serial number. No prior notification of this issue.</t>
  </si>
  <si>
    <t xml:space="preserve">KM VIN 262321: WON'T START DUE TO A FAULTY CRANKSHAFT SENSOR.         </t>
  </si>
  <si>
    <t>157360
276232
282713
281280
252389</t>
  </si>
  <si>
    <t>GAS COOLANT DISTRIBUITION HOSE TO THE TURBOCHARGER WHIT A LEAK</t>
  </si>
  <si>
    <t>ENGINE ASSY - 1.6L AUTO TRANS GAS COOLANT DISTRIBUITION HOSE TO
THE TURBOCHARGER WHIT A LEAK, FOUND AT MAYOR REPAIR,
VIN´S:157360,276232,282713,281280,252389.</t>
  </si>
  <si>
    <t>Not a DEP Engine, this is an MP.</t>
  </si>
  <si>
    <t>Information is pending by production</t>
  </si>
  <si>
    <t>Deprogrammed engine, vaccum pump damaged</t>
  </si>
  <si>
    <t>68436296AG</t>
  </si>
  <si>
    <t>TCH87339520827</t>
  </si>
  <si>
    <t>Deprogrammed engine</t>
  </si>
  <si>
    <t>screw swept thread</t>
  </si>
  <si>
    <t>Validated by Raul Ávila. oil dipstick is broken</t>
  </si>
  <si>
    <t>TIAP1126610565</t>
  </si>
  <si>
    <t>Should be a repair, not a pull. Please let us know if this is already pulled. RLD20260726-11</t>
  </si>
  <si>
    <t>P25E5 B Camshaft Position Control Performance Bank 1</t>
  </si>
  <si>
    <t>VIN 280983 TIAP1126610565 WITH ACTIVE FAULTS +EPCM2F7100 P2F71 ???-
(UNIT REPORTED BY TULIO MERINO, MAJOR REPAIRS)</t>
  </si>
  <si>
    <t>ENGINE DRESS</t>
  </si>
  <si>
    <t>Cam and cranks sensors normal at E-check.  VVT Response normal.</t>
  </si>
  <si>
    <t>TIAP1067610543</t>
  </si>
  <si>
    <t xml:space="preserve">P25DF A Camshaft Position Control Performance Bank 1
</t>
  </si>
  <si>
    <t>KM, VIN 264572 WITH ACTIVE FAULTS: +EPCM25DF00 P25DF (CAMSHAFT
POSITION CONTROL PERFORMANCE, BANK 1) - (UNIT REPORTED BY TULIO IN
REPAIRS)</t>
  </si>
  <si>
    <t>TIAP1074610492
TIAP1126610198</t>
  </si>
  <si>
    <t>243697
210375</t>
  </si>
  <si>
    <t>RLD20260726-12</t>
  </si>
  <si>
    <t>U115C Lost Communication with ETM</t>
  </si>
  <si>
    <t>KM VIN243697 FALLAS ACTIVAS  +EPCM001600 P0016 CRANKSHAFT/CAMSHAFT TIMING MISALIGNMENT - BANK 1 SENSOR 1, (07/046/2026) ADDING ENGINE  210375 TIAP1134610250</t>
  </si>
  <si>
    <t xml:space="preserve">QUARENTINE 
</t>
  </si>
  <si>
    <t>TIAPP1126610198</t>
  </si>
  <si>
    <t>KM ENGINE WITH INTERNAL FAILURE (P2F71) - ENGINE OIL CONTROL VALVE
CONTROL CIRCUIT PERFORMANCE. VIN 204556 TRACEABILITY: TIAPP1126610198</t>
  </si>
  <si>
    <t>TIAP1293510216  DEP Added</t>
  </si>
  <si>
    <t>"Request to not pull engine - Prodcut engineering contacted for assistance. RLD20260726-08
Engine dyno tested with no issue.</t>
  </si>
  <si>
    <t>P2C7F Turbocharger Turbine Inlet Valve Position Sensor Exceeded Learning Limit</t>
  </si>
  <si>
    <t xml:space="preserve">ON 06/29/2026, ENGINE  1.6L AUTO TRANS GAS, KM: PRESENTS A NO-START   CONDITION. ACTIVE DTCS P2C7F, P0351-00, P0352-00, P0353-00,P0354-00.   PHYSICAL INSPECTION FOUND ONE IGNITION COIL AND ITSCONNECTOR BURNED,   WHILE ANOTHER COIL CONTAINED LIQUID CONTAMINATION. SINCE ALL FOUR     IGNITION COILS SHARE THE SAME HARNESS, FAULTS WERE REPORTED ON ALL     FOUR CIRCUITS. DETECTED AT REPAIRS STATION, WAS FOUND BY THE TEAM LEADER, VIN 157085, 1 TOTAL SUSPECT/REJECT PART. </t>
  </si>
  <si>
    <t>TIAP1126610308</t>
  </si>
  <si>
    <t>KM ENGINE OIL CONTROL VALVE CONTROL CIRCUIT PERFORMANCE - ACTIVE
FAILURE. VIN 237172</t>
  </si>
  <si>
    <t>TIAP1121610213</t>
  </si>
  <si>
    <t>RLD20260726-10</t>
  </si>
  <si>
    <t>KM VIN 274011 WITH NOISE DURING THE ROAD TEST.</t>
  </si>
  <si>
    <t>NVH appeared normal at E-Check</t>
  </si>
  <si>
    <t>MP - ENGINE ASSY - 2.0L DI TURBO GAS AUTO TRANS WITH BSR, VIN 259711</t>
  </si>
  <si>
    <t xml:space="preserve"> 68436296AG  </t>
  </si>
  <si>
    <t>s</t>
  </si>
  <si>
    <t xml:space="preserve">MP . ENGINE ASSY - 2.0L DI TURBO GAS AUTO TRANS NC VOID REMARKS. MARIANNE TRUJILLO WRONG SUPPLIER CODE, THE NCT MUST SEND TO ITALY FCA  </t>
  </si>
  <si>
    <t>TCH87336520498</t>
  </si>
  <si>
    <t>P0365 CAMSHAFT POSITION SENSOR CIRCUIT - BANK 1 SENSOR 2
P006D BAROMETRIC PRESSURE - INLET AIR PRESSURE CORRELATION</t>
  </si>
  <si>
    <t>MP, ENGINE-2.0L DI TURBO GAS AUTO, WITH DTC SENSOR FAILURE "P0365
CAMSHAFT POSITION SENSOR CIRCUIT - BANK 1 SENSOR 2" "P006D BAROMETRIC
PRESSURE - INLET AIR PRESSURE CORRELATION", REPORTED AT MAYOR REPAIR,
1 REJECTED PART VIN 281786, TCH87336520498.</t>
  </si>
  <si>
    <t xml:space="preserve"> TCH87345520053</t>
  </si>
  <si>
    <t>P0017 CRANKSHAFT/CAMSHAFT TIMING MISALIGNMENT - BANK 1 SENSOR 2
P0016 CRANKSHAFT/CAMSHAFT TIMING MISALIGNMENT - BANK 1 SENSOR 1</t>
  </si>
  <si>
    <t>MP, ENGINE ASSY - 2.0L DI TURBO GAS AUTO TRANS, WITH DTC FAILURE CODE
P0017 CRANKSHAFT/CAMSHAFT TIMING MISALIGNMENT - BANK 1 SENSOR 2,
P0016 CRANKSHAFT/CAMSHAFT TIMING MISALIGNMENT - BANK 1 SENSOR 1, VIN
291435, TCH87345520053.</t>
  </si>
  <si>
    <t xml:space="preserve">TIAP1054610496 </t>
  </si>
  <si>
    <t>RLD20260726-11</t>
  </si>
  <si>
    <t xml:space="preserve">P25DE A CAMSHAFT POSITION - UNABLE TO ACHIEVE LOCKED POSITION  BANK 1
P0011 BANK 1 CAMSHAFT 1 POSITION TIMING OVER ADVANCED OR SYSTEM PERFORMANCE"
</t>
  </si>
  <si>
    <t xml:space="preserve">KM, ENGINE  1.6L AUTO TRANS GAS, WITH ACTIVE FAILURE CODE DTC
      "P25DE A CAMSHAFT POSITION - UNABLE TO ACHIEVE LOCKED POSITION  BANK
1" "P0011 BANK 1 CAMSHAFT 1 POSITION TIMING OVER ADVANCED OR SYSTEM
 PERFORMANCE", REPORTED AT MAYOR REPAIR, VIN 210375 TIAP1054610496   </t>
  </si>
  <si>
    <t>TIAP1324510073</t>
  </si>
  <si>
    <t>RLD20260726-13</t>
  </si>
  <si>
    <t>Pending</t>
  </si>
  <si>
    <t>KM, ENGINE – 1.6L AUTO TRANS GAS, WITH OIL LEAK AT THE JUNCTION
OF THE TRANSMISSION AND THE ENGINE BLOC, VIN 264090 TIAP1324510073</t>
  </si>
  <si>
    <t>TIAP1138610946</t>
  </si>
  <si>
    <t>P1AC6 MCPA Crankshaft Position Signal Sensor Performance</t>
  </si>
  <si>
    <t>KM, ENGINE ASSY - 1.6L AUTO TRANS GAS, WITH ACTIVE FAILURE DTC CODE
"P1AC6 MCPA CRANKSHAFT POSITION SIGNAL SENSOR PERFORMANCE", VIN
293660 TIAP1138610946</t>
  </si>
  <si>
    <t>REPAIR</t>
  </si>
  <si>
    <t>TIAP1121610876</t>
  </si>
  <si>
    <t>26601761</t>
  </si>
  <si>
    <t>RLD20260726-14</t>
  </si>
  <si>
    <t>KM ENGINE WITH LOOSE FLYWHEEL VIN: 204568 TRACEABILITY: TIAP1121610876</t>
  </si>
  <si>
    <t>TIAP1139610470</t>
  </si>
  <si>
    <t>26601725</t>
  </si>
  <si>
    <t>Requested this to be a repair. RLD20260722-01</t>
  </si>
  <si>
    <t xml:space="preserve">KM ENGINE WITH FRACTURED HOSE (AIR FILTER CONNECTION), VIN 292963,
  TIAP1139610470                                     </t>
  </si>
  <si>
    <t>TIAP1135610606</t>
  </si>
  <si>
    <t>26601656</t>
  </si>
  <si>
    <t>Should not have been pulled. Dundee should have been contacted. This is either a deoiler issue or a check valve issue. RLD20260618-01</t>
  </si>
  <si>
    <t xml:space="preserve">KM: 68623468AE ENGINE WITH EXCESS OF SMOKE EMISSIONS VIN 236260,
    TIAP1135610606 ON 07-15-2026 DURING  3RD SHIFT REPORTED BY TEAM
     LEADER       </t>
  </si>
  <si>
    <t>TIAP1134610571</t>
  </si>
  <si>
    <t>RLD20260726-15</t>
  </si>
  <si>
    <t>KM:  ENGINE-1.6L AUTO TRANS GAS WITH BELT OUT OF POSITION. VIN 238995 TIAP1134610571   PNP68623468AE</t>
  </si>
  <si>
    <t xml:space="preserve">TIAP1134610344   </t>
  </si>
  <si>
    <t>Looks like an oil cooler leak, do you have spare Oil Cooler parts? Can this be repaired in vehicle or is the engine pulled already? RLD20260726-16</t>
  </si>
  <si>
    <t xml:space="preserve">KM VIN 288150 ENGINE WITH A LEAK REPORTED BY THE TEAM CHIEF DURING    MAJOR REPAIRS.TIAP1134610344   </t>
  </si>
  <si>
    <t>Issue reviewed by ST Team (Ignacio Romero)</t>
  </si>
  <si>
    <t>EPCM013800 P0138 O2 SENSOR 1/2 CIRCUIT HIGH</t>
  </si>
  <si>
    <t xml:space="preserve">MP WITH ACTIVE FAULTS +EPCM013800 P0138 O2 SENSOR 1/2 CIRCUIT HIGH    (BENT PIN IN HARNESS) VIN 291767      </t>
  </si>
  <si>
    <t xml:space="preserve"> TCH87014620316</t>
  </si>
  <si>
    <t xml:space="preserve">MP: ENGINE ASSY - 2.0L DI TURBO GAS AUTO TRANS WIRH POORLY MACHINED,
EXCESS MATERIAL. VIN 291562 TCH87014620316     </t>
  </si>
  <si>
    <t>TCH870146200316</t>
  </si>
  <si>
    <t xml:space="preserve">MP INTERNAL DIAMETER OBSTRUCTED DUE TO LACK OF MACHINING              TCH870146200316 VIN 291560              </t>
  </si>
  <si>
    <t>Issue reviewed by ST Team (Luis Antonio Barrera)</t>
  </si>
  <si>
    <t>TCH87350520620</t>
  </si>
  <si>
    <t>E-PCM-STRTStart Engine</t>
  </si>
  <si>
    <t xml:space="preserve">MP, Engine-2.0l Di Turbo Gas Auto, on 07/09/2026, at 1° shift, on mayor repair department, 
was found by the Team Leader with a «No start engine» issue, WCC report shows active DTC 
failure code from Prefinal test «E-PCM-STRTStart Engine», for VIN 291358 TCH87350520620, 
1 Rejected part.  </t>
  </si>
  <si>
    <t>Todos los VINs que fuereron reportados por correo (Iquib)</t>
  </si>
  <si>
    <t xml:space="preserve">VIN </t>
  </si>
  <si>
    <t xml:space="preserve">TRACEBILITY </t>
  </si>
  <si>
    <t xml:space="preserve">CUARENTENA </t>
  </si>
  <si>
    <t>REPARACIONES (ELEFANTE)</t>
  </si>
  <si>
    <t>CAMBIO IQUIB</t>
  </si>
  <si>
    <t xml:space="preserve">NOTAS </t>
  </si>
  <si>
    <t>3C4PJMB21TT250503</t>
  </si>
  <si>
    <t>T26DK073600180</t>
  </si>
  <si>
    <t xml:space="preserve">1ra solicitud RDM </t>
  </si>
  <si>
    <t>TCA6E152600572</t>
  </si>
  <si>
    <t>3C4PJMB26TT263361</t>
  </si>
  <si>
    <t>TCA6E158600065</t>
  </si>
  <si>
    <t>1 SUSP. COMPLETA</t>
  </si>
  <si>
    <t xml:space="preserve">UNIDAD CAMBIO DE RDM 3 VECES </t>
  </si>
  <si>
    <t xml:space="preserve"> 3C4PJMB2XTT273567</t>
  </si>
  <si>
    <t>T26DK059600190</t>
  </si>
  <si>
    <t>COINCIDE</t>
  </si>
  <si>
    <t>TCA6E104600249</t>
  </si>
  <si>
    <t>3C4PJMB26TT283206</t>
  </si>
  <si>
    <t>T26DK034600339</t>
  </si>
  <si>
    <t xml:space="preserve">NO COINCIDE </t>
  </si>
  <si>
    <t>3C4PJMB29TT262253</t>
  </si>
  <si>
    <t>T26DK089600197</t>
  </si>
  <si>
    <t xml:space="preserve">FALTA </t>
  </si>
  <si>
    <t>3C4PJMB28TT270201</t>
  </si>
  <si>
    <t>T26DK070600091</t>
  </si>
  <si>
    <t xml:space="preserve">PENDIENTE DE VIN </t>
  </si>
  <si>
    <t>3C4PJMB25TT269040</t>
  </si>
  <si>
    <t xml:space="preserve">TOTAL PIEZAS IDENTIFICADAS </t>
  </si>
  <si>
    <t>3C4PJMB29TT262530</t>
  </si>
  <si>
    <t>T26DK080600408</t>
  </si>
  <si>
    <t>3C4PJMB20TT233787 </t>
  </si>
  <si>
    <t>3C4PJMB24TT230150</t>
  </si>
  <si>
    <t xml:space="preserve">
3C4PJMB26TT283206
</t>
  </si>
  <si>
    <t>3C4PJMB22TT264636</t>
  </si>
  <si>
    <t>T26DK085600414</t>
  </si>
  <si>
    <t xml:space="preserve">NO EN TRACK </t>
  </si>
  <si>
    <t>3C4PJMC20TT286956</t>
  </si>
  <si>
    <t>Part Number:</t>
  </si>
  <si>
    <t>68541059AD</t>
  </si>
  <si>
    <t>3C4PJMB20TT215130</t>
  </si>
  <si>
    <t>T26DK119600375</t>
  </si>
  <si>
    <t>TT233787</t>
  </si>
  <si>
    <t>T26DK073600431</t>
  </si>
  <si>
    <t>T26DK107600315</t>
  </si>
  <si>
    <t>TT230150</t>
  </si>
  <si>
    <t>T26DK120600170</t>
  </si>
  <si>
    <t>Confirmar trazabilidad</t>
  </si>
  <si>
    <t>Falta RDM</t>
  </si>
  <si>
    <t xml:space="preserve">cambio de arnes </t>
  </si>
  <si>
    <t xml:space="preserve">pines invertidos </t>
  </si>
  <si>
    <t>NCT 26 601603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</si>
</sst>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sz val="8"/>
      <name val="Aptos Narrow"/>
      <family val="2"/>
      <scheme val="minor"/>
    </font>
    <font>
      <sz val="11"/>
      <color indexed="8"/>
      <name val="Aptos Narrow"/>
      <family val="2"/>
      <scheme val="minor"/>
    </font>
    <font>
      <strike/>
      <sz val="11"/>
      <color rgb="FF000000"/>
      <name val="Aptos Narrow"/>
      <scheme val="minor"/>
    </font>
    <font>
      <sz val="11"/>
      <color rgb="FF000000"/>
      <name val="Aptos Narrow"/>
      <scheme val="minor"/>
    </font>
    <font>
      <strike/>
      <sz val="11"/>
      <color theme="1"/>
      <name val="Aptos Narrow"/>
      <family val="2"/>
      <scheme val="minor"/>
    </font>
    <font>
      <b/>
      <sz val="11"/>
      <color rgb="FF000000"/>
      <name val="Aptos Narrow"/>
      <charset val="1"/>
    </font>
    <font>
      <b/>
      <sz val="11"/>
      <color theme="1"/>
      <name val="Aptos Narrow"/>
      <family val="2"/>
      <scheme val="minor"/>
    </font>
    <font>
      <sz val="11"/>
      <color rgb="FF000000"/>
      <name val="Calibri"/>
      <charset val="1"/>
    </font>
    <font>
      <sz val="11"/>
      <color rgb="FF242424"/>
      <name val="Aptos Narrow"/>
      <charset val="1"/>
    </font>
    <font>
      <sz val="11"/>
      <color theme="1"/>
      <name val="Aptos Narrow"/>
      <family val="2"/>
      <scheme val="minor"/>
    </font>
  </fonts>
  <fills count="12">
    <fill>
      <patternFill patternType="none"/>
    </fill>
    <fill>
      <patternFill patternType="gray125"/>
    </fill>
    <fill>
      <patternFill patternType="solid">
        <fgColor rgb="FFFFC000"/>
        <bgColor indexed="64"/>
      </patternFill>
    </fill>
    <fill>
      <patternFill patternType="solid">
        <fgColor rgb="FF7030A0"/>
        <bgColor indexed="64"/>
      </patternFill>
    </fill>
    <fill>
      <patternFill patternType="solid">
        <fgColor rgb="FFFF0000"/>
        <bgColor indexed="64"/>
      </patternFill>
    </fill>
    <fill>
      <patternFill patternType="solid">
        <fgColor theme="7"/>
        <bgColor indexed="64"/>
      </patternFill>
    </fill>
    <fill>
      <patternFill patternType="solid">
        <fgColor rgb="FF00B0F0"/>
        <bgColor indexed="64"/>
      </patternFill>
    </fill>
    <fill>
      <patternFill patternType="solid">
        <fgColor theme="9"/>
        <bgColor indexed="64"/>
      </patternFill>
    </fill>
    <fill>
      <patternFill patternType="solid">
        <fgColor rgb="FFFFFF00"/>
        <bgColor indexed="64"/>
      </patternFill>
    </fill>
    <fill>
      <patternFill patternType="solid">
        <fgColor theme="0"/>
        <bgColor indexed="64"/>
      </patternFill>
    </fill>
    <fill>
      <patternFill patternType="solid">
        <fgColor theme="5" tint="0.39997558519241921"/>
        <bgColor indexed="64"/>
      </patternFill>
    </fill>
    <fill>
      <patternFill patternType="solid">
        <fgColor theme="8"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auto="1"/>
      </left>
      <right style="thin">
        <color auto="1"/>
      </right>
      <top style="hair">
        <color auto="1"/>
      </top>
      <bottom style="hair">
        <color auto="1"/>
      </bottom>
      <diagonal/>
    </border>
  </borders>
  <cellStyleXfs count="2">
    <xf numFmtId="0" fontId="0" fillId="0" borderId="0"/>
    <xf numFmtId="0" fontId="2" fillId="0" borderId="0"/>
  </cellStyleXfs>
  <cellXfs count="71">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0" fillId="0" borderId="1" xfId="0" applyBorder="1" applyAlignment="1">
      <alignment horizontal="left" vertical="center" indent="1"/>
    </xf>
    <xf numFmtId="0" fontId="0" fillId="2" borderId="1" xfId="0" applyFill="1" applyBorder="1" applyAlignment="1">
      <alignment horizontal="left" vertical="center" indent="1"/>
    </xf>
    <xf numFmtId="0" fontId="0" fillId="2" borderId="1" xfId="0" applyFill="1" applyBorder="1" applyAlignment="1">
      <alignment wrapText="1"/>
    </xf>
    <xf numFmtId="0" fontId="0" fillId="3" borderId="1" xfId="0" applyFill="1" applyBorder="1" applyAlignment="1">
      <alignment wrapText="1"/>
    </xf>
    <xf numFmtId="0" fontId="0" fillId="4" borderId="1" xfId="0" applyFill="1" applyBorder="1" applyAlignment="1">
      <alignment wrapText="1"/>
    </xf>
    <xf numFmtId="0" fontId="0" fillId="5" borderId="1" xfId="0" applyFill="1" applyBorder="1" applyAlignment="1">
      <alignment wrapText="1"/>
    </xf>
    <xf numFmtId="0" fontId="0" fillId="3" borderId="0" xfId="0" applyFill="1"/>
    <xf numFmtId="0" fontId="0" fillId="6" borderId="0" xfId="0" applyFill="1"/>
    <xf numFmtId="0" fontId="0" fillId="4" borderId="0" xfId="0" applyFill="1"/>
    <xf numFmtId="0" fontId="0" fillId="7" borderId="1" xfId="0" applyFill="1" applyBorder="1" applyAlignment="1">
      <alignment wrapText="1"/>
    </xf>
    <xf numFmtId="0" fontId="0" fillId="7" borderId="0" xfId="0" applyFill="1"/>
    <xf numFmtId="0" fontId="0" fillId="0" borderId="0" xfId="0" applyAlignment="1">
      <alignment vertical="center" wrapText="1"/>
    </xf>
    <xf numFmtId="0" fontId="0" fillId="0" borderId="7" xfId="0" applyBorder="1" applyAlignment="1">
      <alignment horizontal="left" vertical="center" indent="1"/>
    </xf>
    <xf numFmtId="0" fontId="0" fillId="9" borderId="1" xfId="0" applyFill="1" applyBorder="1"/>
    <xf numFmtId="0" fontId="0" fillId="9" borderId="1" xfId="0" applyFill="1" applyBorder="1" applyAlignment="1">
      <alignment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4" borderId="1" xfId="0" applyFill="1" applyBorder="1" applyAlignment="1">
      <alignment horizontal="left" vertical="center" indent="1"/>
    </xf>
    <xf numFmtId="0" fontId="0" fillId="0" borderId="0" xfId="0" applyAlignment="1">
      <alignment horizontal="left" vertical="center" indent="1"/>
    </xf>
    <xf numFmtId="0" fontId="0" fillId="0" borderId="0" xfId="0" applyAlignment="1">
      <alignment horizontal="center" vertical="top"/>
    </xf>
    <xf numFmtId="0" fontId="0" fillId="0" borderId="1" xfId="0" applyBorder="1" applyAlignment="1">
      <alignment horizontal="center" vertical="top"/>
    </xf>
    <xf numFmtId="0" fontId="0" fillId="0" borderId="1" xfId="0" applyBorder="1" applyAlignment="1">
      <alignment horizontal="center" vertical="top" wrapText="1"/>
    </xf>
    <xf numFmtId="0" fontId="0" fillId="0" borderId="5" xfId="0" applyBorder="1" applyAlignment="1">
      <alignment horizontal="center" vertical="top"/>
    </xf>
    <xf numFmtId="0" fontId="0" fillId="0" borderId="5" xfId="0" applyBorder="1" applyAlignment="1">
      <alignment horizontal="center" vertical="top" wrapText="1"/>
    </xf>
    <xf numFmtId="0" fontId="0" fillId="4" borderId="1" xfId="0" applyFill="1" applyBorder="1" applyAlignment="1">
      <alignment horizontal="center" vertical="top"/>
    </xf>
    <xf numFmtId="0" fontId="0" fillId="10" borderId="1" xfId="0" applyFill="1" applyBorder="1" applyAlignment="1">
      <alignment horizontal="center" vertical="top"/>
    </xf>
    <xf numFmtId="0" fontId="0" fillId="10" borderId="1" xfId="0" applyFill="1" applyBorder="1" applyAlignment="1">
      <alignment horizontal="center" vertical="top" wrapText="1"/>
    </xf>
    <xf numFmtId="0" fontId="0" fillId="8" borderId="1" xfId="0" applyFill="1" applyBorder="1" applyAlignment="1">
      <alignment horizontal="center" vertical="top"/>
    </xf>
    <xf numFmtId="0" fontId="0" fillId="8" borderId="1" xfId="0" applyFill="1" applyBorder="1" applyAlignment="1">
      <alignment horizontal="center" vertical="top" wrapText="1"/>
    </xf>
    <xf numFmtId="0" fontId="0" fillId="0" borderId="0" xfId="0" applyAlignment="1">
      <alignment horizontal="center" vertical="top" wrapText="1"/>
    </xf>
    <xf numFmtId="0" fontId="0" fillId="0" borderId="8" xfId="0" applyBorder="1" applyAlignment="1">
      <alignment horizontal="center" vertical="center"/>
    </xf>
    <xf numFmtId="0" fontId="0" fillId="0" borderId="6" xfId="0"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vertical="center" wrapText="1"/>
    </xf>
    <xf numFmtId="0" fontId="0" fillId="0" borderId="4" xfId="0" applyBorder="1" applyAlignment="1">
      <alignment horizontal="center" vertical="center"/>
    </xf>
    <xf numFmtId="0" fontId="0" fillId="0" borderId="2" xfId="0" applyBorder="1" applyAlignment="1">
      <alignment horizontal="center" vertical="top" wrapText="1"/>
    </xf>
    <xf numFmtId="0" fontId="0" fillId="0" borderId="4" xfId="0" applyBorder="1" applyAlignment="1">
      <alignment horizontal="center" vertical="top"/>
    </xf>
    <xf numFmtId="0" fontId="0" fillId="0" borderId="2" xfId="0" applyBorder="1" applyAlignment="1">
      <alignment horizontal="center" vertical="top"/>
    </xf>
    <xf numFmtId="0" fontId="0" fillId="4" borderId="4" xfId="0" applyFill="1" applyBorder="1" applyAlignment="1">
      <alignment horizontal="center" vertical="top"/>
    </xf>
    <xf numFmtId="0" fontId="0" fillId="4" borderId="1" xfId="0" applyFill="1" applyBorder="1" applyAlignment="1">
      <alignment horizontal="center" vertical="top" wrapText="1"/>
    </xf>
    <xf numFmtId="0" fontId="0" fillId="4" borderId="2" xfId="0" applyFill="1" applyBorder="1" applyAlignment="1">
      <alignment horizontal="center" vertical="top"/>
    </xf>
    <xf numFmtId="0" fontId="0" fillId="10" borderId="4" xfId="0" applyFill="1" applyBorder="1" applyAlignment="1">
      <alignment horizontal="center" vertical="top"/>
    </xf>
    <xf numFmtId="0" fontId="0" fillId="10" borderId="2" xfId="0" applyFill="1" applyBorder="1" applyAlignment="1">
      <alignment horizontal="center" vertical="top" wrapText="1"/>
    </xf>
    <xf numFmtId="0" fontId="0" fillId="8" borderId="2" xfId="0" applyFill="1" applyBorder="1" applyAlignment="1">
      <alignment horizontal="center" vertical="top" wrapText="1"/>
    </xf>
    <xf numFmtId="0" fontId="0" fillId="0" borderId="10" xfId="0" applyBorder="1" applyAlignment="1">
      <alignment horizontal="center" vertical="top"/>
    </xf>
    <xf numFmtId="0" fontId="0" fillId="0" borderId="11" xfId="0" applyBorder="1" applyAlignment="1">
      <alignment horizontal="center" vertical="top"/>
    </xf>
    <xf numFmtId="0" fontId="2" fillId="0" borderId="1" xfId="1" applyBorder="1" applyAlignment="1">
      <alignment horizontal="center" vertical="top"/>
    </xf>
    <xf numFmtId="0" fontId="2" fillId="0" borderId="5" xfId="1" applyBorder="1" applyAlignment="1">
      <alignment horizontal="center" vertical="top"/>
    </xf>
    <xf numFmtId="0" fontId="0" fillId="0" borderId="6" xfId="0" applyBorder="1" applyAlignment="1">
      <alignment horizontal="center" vertical="top"/>
    </xf>
    <xf numFmtId="0" fontId="3" fillId="0" borderId="1" xfId="0" applyFont="1" applyBorder="1" applyAlignment="1">
      <alignment horizontal="center" vertical="top" wrapText="1"/>
    </xf>
    <xf numFmtId="0" fontId="5" fillId="0" borderId="4" xfId="0" applyFont="1" applyBorder="1" applyAlignment="1">
      <alignment horizontal="center" vertical="top"/>
    </xf>
    <xf numFmtId="0" fontId="5" fillId="0" borderId="1" xfId="0" applyFont="1" applyBorder="1" applyAlignment="1">
      <alignment horizontal="center" vertical="top"/>
    </xf>
    <xf numFmtId="0" fontId="6" fillId="0" borderId="0" xfId="0" applyFont="1" applyAlignment="1">
      <alignment wrapText="1"/>
    </xf>
    <xf numFmtId="0" fontId="7" fillId="0" borderId="1" xfId="0" applyFont="1" applyBorder="1" applyAlignment="1">
      <alignment horizontal="center" vertical="top"/>
    </xf>
    <xf numFmtId="0" fontId="7" fillId="0" borderId="1" xfId="0" applyFont="1" applyBorder="1" applyAlignment="1">
      <alignment horizontal="center" vertical="top" wrapText="1"/>
    </xf>
    <xf numFmtId="0" fontId="5" fillId="8" borderId="4" xfId="0" applyFont="1" applyFill="1" applyBorder="1" applyAlignment="1">
      <alignment horizontal="center" vertical="top"/>
    </xf>
    <xf numFmtId="0" fontId="5" fillId="8" borderId="1" xfId="0" applyFont="1" applyFill="1" applyBorder="1" applyAlignment="1">
      <alignment horizontal="center" vertical="top"/>
    </xf>
    <xf numFmtId="0" fontId="8" fillId="0" borderId="0" xfId="0" applyFont="1"/>
    <xf numFmtId="0" fontId="9" fillId="0" borderId="0" xfId="0" applyFont="1"/>
    <xf numFmtId="0" fontId="10" fillId="0" borderId="12" xfId="0" applyFont="1" applyBorder="1" applyAlignment="1">
      <alignment vertical="center" wrapText="1"/>
    </xf>
    <xf numFmtId="0" fontId="8" fillId="0" borderId="0" xfId="0" applyFont="1" applyAlignment="1">
      <alignment wrapText="1"/>
    </xf>
    <xf numFmtId="0" fontId="0" fillId="0" borderId="2" xfId="0" applyBorder="1" applyAlignment="1">
      <alignment horizontal="center"/>
    </xf>
    <xf numFmtId="0" fontId="0" fillId="0" borderId="3" xfId="0" applyBorder="1" applyAlignment="1">
      <alignment horizontal="center"/>
    </xf>
    <xf numFmtId="0" fontId="0" fillId="9" borderId="2" xfId="0" applyFill="1" applyBorder="1" applyAlignment="1">
      <alignment horizontal="center"/>
    </xf>
    <xf numFmtId="0" fontId="0" fillId="9" borderId="4" xfId="0" applyFill="1" applyBorder="1" applyAlignment="1">
      <alignment horizontal="center"/>
    </xf>
    <xf numFmtId="0" fontId="0" fillId="0" borderId="0" xfId="0" applyAlignment="1">
      <alignment vertical="center" wrapText="1"/>
    </xf>
    <xf numFmtId="0" fontId="0" fillId="11" borderId="0" xfId="0" applyFill="1" applyAlignment="1">
      <alignment horizontal="center" vertical="top"/>
    </xf>
  </cellXfs>
  <cellStyles count="2">
    <cellStyle name="Normal" xfId="0" builtinId="0"/>
    <cellStyle name="Normal 2" xfId="1" xr:uid="{EDF4B2AA-7371-434F-88E9-204B2262A0AD}"/>
  </cellStyles>
  <dxfs count="22">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top"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center" vertical="top" textRotation="0" indent="0" justifyLastLine="0" shrinkToFit="0" readingOrder="0"/>
    </dxf>
    <dxf>
      <border>
        <bottom style="thin">
          <color indexed="64"/>
        </bottom>
      </border>
    </dxf>
    <dxf>
      <alignment horizontal="center" vertical="center"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5AE4AAC-9F2C-4593-83C1-C05EC21B7267}" name="Table1" displayName="Table1" ref="B1:R57" totalsRowShown="0" headerRowDxfId="21" dataDxfId="19" headerRowBorderDxfId="20" tableBorderDxfId="18" totalsRowBorderDxfId="17">
  <autoFilter ref="B1:R57" xr:uid="{F5AE4AAC-9F2C-4593-83C1-C05EC21B7267}">
    <filterColumn colId="2">
      <filters>
        <filter val="DEP"/>
      </filters>
    </filterColumn>
  </autoFilter>
  <tableColumns count="17">
    <tableColumn id="1" xr3:uid="{06E9F193-B4C5-461D-92E9-075DDFF36571}" name="MODEL " dataDxfId="16"/>
    <tableColumn id="6" xr3:uid="{DB8D0632-D7DA-4595-A2F4-6B378A9A5954}" name="PN" dataDxfId="15"/>
    <tableColumn id="13" xr3:uid="{BBF91049-A2A8-4010-ADB2-910C130DE3FC}" name="Supplier" dataDxfId="14"/>
    <tableColumn id="2" xr3:uid="{69B7D44C-9398-4291-9F17-11146EDAA1F9}" name="TRACEABILITY" dataDxfId="13"/>
    <tableColumn id="7" xr3:uid="{048FB90B-3C49-4E60-BE3B-DF8FCE28D4BA}" name="NO. MOTORS" dataDxfId="12"/>
    <tableColumn id="3" xr3:uid="{710D3F8B-5FF2-41E3-B7F0-A1B03E30997F}" name="VIN" dataDxfId="11"/>
    <tableColumn id="4" xr3:uid="{43EE0615-3DD8-4E54-B423-57F5EDB10442}" name="NCT" dataDxfId="10"/>
    <tableColumn id="5" xr3:uid="{D8FF8044-12D4-4B2D-B0C1-36B93D4AE52B}" name="SDA/ RMA" dataDxfId="9"/>
    <tableColumn id="12" xr3:uid="{E93B3F7B-5FBF-472C-BE95-B8BCA7112E38}" name="DTC" dataDxfId="8"/>
    <tableColumn id="11" xr3:uid="{793C7F07-53FD-4B88-8149-ABF427B756D9}" name="ISSUE " dataDxfId="7"/>
    <tableColumn id="10" xr3:uid="{90A4DEA6-D5EE-4956-BEEC-663EA38718B3}" name="Location" dataDxfId="6"/>
    <tableColumn id="9" xr3:uid="{300612C5-A00D-4993-8C34-BCDB22EF3C2A}" name="Comments" dataDxfId="5"/>
    <tableColumn id="8" xr3:uid="{AA8D8775-893B-4C3B-8B7F-70848EEB9B53}" name="Disposition" dataDxfId="4"/>
    <tableColumn id="20" xr3:uid="{E50FDEBF-E7C2-40E9-9C51-C46CDAA1B13C}" name="ICA" dataDxfId="3"/>
    <tableColumn id="21" xr3:uid="{A3833A0F-66C6-440B-B025-BB5F2D116704}" name="RCA" dataDxfId="2"/>
    <tableColumn id="22" xr3:uid="{387A3FE0-1F26-41FE-B380-033301885FBC}" name="PCA" dataDxfId="1"/>
    <tableColumn id="14" xr3:uid="{B736F5AA-0DBA-453D-824F-23ECB68B8481}" name="Comments2" dataDxfId="0"/>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D6AF9-03E1-43D5-9D3C-5F1FA4F2276A}">
  <dimension ref="A1:R57"/>
  <sheetViews>
    <sheetView tabSelected="1" zoomScale="85" zoomScaleNormal="85" workbookViewId="0">
      <pane ySplit="1" topLeftCell="A18" activePane="bottomLeft" state="frozen"/>
      <selection pane="bottomLeft" activeCell="A20" sqref="A20"/>
    </sheetView>
  </sheetViews>
  <sheetFormatPr defaultColWidth="9.140625" defaultRowHeight="15" x14ac:dyDescent="0.25"/>
  <cols>
    <col min="1" max="1" width="9.140625" style="23"/>
    <col min="2" max="2" width="9.140625" style="23" customWidth="1"/>
    <col min="3" max="3" width="15.42578125" style="23" bestFit="1" customWidth="1"/>
    <col min="4" max="4" width="15.42578125" style="23" customWidth="1"/>
    <col min="5" max="5" width="22" style="23" bestFit="1" customWidth="1"/>
    <col min="6" max="6" width="17" style="23" customWidth="1"/>
    <col min="7" max="7" width="12.28515625" style="23" customWidth="1"/>
    <col min="8" max="8" width="14" style="23" customWidth="1"/>
    <col min="9" max="9" width="20.7109375" style="23" customWidth="1"/>
    <col min="10" max="10" width="34.28515625" style="23" bestFit="1" customWidth="1"/>
    <col min="11" max="11" width="49.5703125" style="33" bestFit="1" customWidth="1"/>
    <col min="12" max="12" width="17.28515625" style="23" bestFit="1" customWidth="1"/>
    <col min="13" max="13" width="47.85546875" style="33" bestFit="1" customWidth="1"/>
    <col min="14" max="14" width="13.85546875" style="23" bestFit="1" customWidth="1"/>
    <col min="15" max="15" width="62.28515625" style="33" customWidth="1"/>
    <col min="16" max="16" width="49.7109375" style="33" customWidth="1"/>
    <col min="17" max="17" width="43.42578125" style="33" customWidth="1"/>
    <col min="18" max="18" width="39" style="23" customWidth="1"/>
    <col min="19" max="16384" width="9.140625" style="23"/>
  </cols>
  <sheetData>
    <row r="1" spans="2:18" x14ac:dyDescent="0.25">
      <c r="B1" s="34" t="s">
        <v>0</v>
      </c>
      <c r="C1" s="35" t="s">
        <v>1</v>
      </c>
      <c r="D1" s="35" t="s">
        <v>2</v>
      </c>
      <c r="E1" s="35" t="s">
        <v>3</v>
      </c>
      <c r="F1" s="35" t="s">
        <v>4</v>
      </c>
      <c r="G1" s="35" t="s">
        <v>5</v>
      </c>
      <c r="H1" s="35" t="s">
        <v>6</v>
      </c>
      <c r="I1" s="35" t="s">
        <v>7</v>
      </c>
      <c r="J1" s="35" t="s">
        <v>8</v>
      </c>
      <c r="K1" s="36" t="s">
        <v>9</v>
      </c>
      <c r="L1" s="35" t="s">
        <v>10</v>
      </c>
      <c r="M1" s="36" t="s">
        <v>11</v>
      </c>
      <c r="N1" s="35" t="s">
        <v>12</v>
      </c>
      <c r="O1" s="36" t="s">
        <v>13</v>
      </c>
      <c r="P1" s="36" t="s">
        <v>14</v>
      </c>
      <c r="Q1" s="37" t="s">
        <v>15</v>
      </c>
      <c r="R1" s="35" t="s">
        <v>16</v>
      </c>
    </row>
    <row r="2" spans="2:18" ht="45" x14ac:dyDescent="0.25">
      <c r="B2" s="38" t="s">
        <v>17</v>
      </c>
      <c r="C2" s="24" t="s">
        <v>18</v>
      </c>
      <c r="D2" s="19" t="s">
        <v>19</v>
      </c>
      <c r="E2" s="19" t="s">
        <v>20</v>
      </c>
      <c r="F2" s="19">
        <v>3</v>
      </c>
      <c r="G2" s="19" t="s">
        <v>21</v>
      </c>
      <c r="H2" s="19" t="s">
        <v>22</v>
      </c>
      <c r="I2" s="19" t="s">
        <v>23</v>
      </c>
      <c r="J2" s="19" t="s">
        <v>24</v>
      </c>
      <c r="K2" s="20" t="s">
        <v>25</v>
      </c>
      <c r="L2" s="19" t="s">
        <v>26</v>
      </c>
      <c r="M2" s="20" t="s">
        <v>27</v>
      </c>
      <c r="N2" s="19" t="s">
        <v>26</v>
      </c>
      <c r="O2" s="25" t="s">
        <v>28</v>
      </c>
      <c r="P2" s="25" t="s">
        <v>29</v>
      </c>
      <c r="Q2" s="39"/>
      <c r="R2" s="52"/>
    </row>
    <row r="3" spans="2:18" ht="60" x14ac:dyDescent="0.25">
      <c r="B3" s="38" t="s">
        <v>17</v>
      </c>
      <c r="C3" s="24" t="s">
        <v>18</v>
      </c>
      <c r="D3" s="19" t="s">
        <v>19</v>
      </c>
      <c r="E3" s="19" t="s">
        <v>20</v>
      </c>
      <c r="F3" s="19">
        <v>5</v>
      </c>
      <c r="G3" s="19">
        <v>282935</v>
      </c>
      <c r="H3" s="19" t="s">
        <v>30</v>
      </c>
      <c r="I3" s="19" t="s">
        <v>31</v>
      </c>
      <c r="J3" s="19" t="s">
        <v>24</v>
      </c>
      <c r="K3" s="20" t="s">
        <v>32</v>
      </c>
      <c r="L3" s="19" t="s">
        <v>26</v>
      </c>
      <c r="M3" s="20" t="s">
        <v>33</v>
      </c>
      <c r="N3" s="19" t="s">
        <v>26</v>
      </c>
      <c r="O3" s="25" t="s">
        <v>34</v>
      </c>
      <c r="P3" s="25"/>
      <c r="Q3" s="39"/>
      <c r="R3" s="24"/>
    </row>
    <row r="4" spans="2:18" ht="30" x14ac:dyDescent="0.25">
      <c r="B4" s="38" t="s">
        <v>17</v>
      </c>
      <c r="C4" s="24" t="s">
        <v>18</v>
      </c>
      <c r="D4" s="19" t="s">
        <v>19</v>
      </c>
      <c r="E4" s="19" t="s">
        <v>35</v>
      </c>
      <c r="F4" s="19">
        <v>2</v>
      </c>
      <c r="G4" s="19" t="s">
        <v>36</v>
      </c>
      <c r="H4" s="19" t="s">
        <v>30</v>
      </c>
      <c r="I4" s="19" t="s">
        <v>37</v>
      </c>
      <c r="J4" s="19"/>
      <c r="K4" s="20" t="s">
        <v>38</v>
      </c>
      <c r="L4" s="19" t="s">
        <v>26</v>
      </c>
      <c r="M4" s="20" t="s">
        <v>39</v>
      </c>
      <c r="N4" s="19"/>
      <c r="O4" s="25"/>
      <c r="P4" s="25"/>
      <c r="Q4" s="39"/>
      <c r="R4" s="24"/>
    </row>
    <row r="5" spans="2:18" x14ac:dyDescent="0.25">
      <c r="B5" s="40" t="s">
        <v>40</v>
      </c>
      <c r="C5" s="24" t="s">
        <v>18</v>
      </c>
      <c r="D5" s="24" t="s">
        <v>19</v>
      </c>
      <c r="E5" s="24"/>
      <c r="F5" s="24">
        <v>1</v>
      </c>
      <c r="G5" s="24">
        <v>248801</v>
      </c>
      <c r="H5" s="24">
        <v>26600911</v>
      </c>
      <c r="I5" s="24" t="s">
        <v>41</v>
      </c>
      <c r="J5" s="25" t="s">
        <v>24</v>
      </c>
      <c r="K5" s="25" t="s">
        <v>42</v>
      </c>
      <c r="L5" s="24" t="s">
        <v>43</v>
      </c>
      <c r="M5" s="25" t="s">
        <v>44</v>
      </c>
      <c r="N5" s="24" t="s">
        <v>45</v>
      </c>
      <c r="O5" s="25"/>
      <c r="P5" s="25"/>
      <c r="Q5" s="39"/>
      <c r="R5" s="24"/>
    </row>
    <row r="6" spans="2:18" ht="75" x14ac:dyDescent="0.25">
      <c r="B6" s="40" t="s">
        <v>40</v>
      </c>
      <c r="C6" s="24" t="s">
        <v>18</v>
      </c>
      <c r="D6" s="24" t="s">
        <v>19</v>
      </c>
      <c r="E6" s="24" t="s">
        <v>46</v>
      </c>
      <c r="F6" s="24">
        <v>1</v>
      </c>
      <c r="G6" s="24"/>
      <c r="H6" s="24">
        <v>26600910</v>
      </c>
      <c r="I6" s="24" t="s">
        <v>47</v>
      </c>
      <c r="J6" s="25" t="s">
        <v>24</v>
      </c>
      <c r="K6" s="25" t="s">
        <v>48</v>
      </c>
      <c r="L6" s="24"/>
      <c r="M6" s="25" t="s">
        <v>44</v>
      </c>
      <c r="N6" s="24" t="s">
        <v>45</v>
      </c>
      <c r="O6" s="24"/>
      <c r="P6" s="24"/>
      <c r="Q6" s="41"/>
      <c r="R6" s="24"/>
    </row>
    <row r="7" spans="2:18" ht="45" x14ac:dyDescent="0.25">
      <c r="B7" s="40" t="s">
        <v>40</v>
      </c>
      <c r="C7" s="24" t="s">
        <v>18</v>
      </c>
      <c r="D7" s="24" t="s">
        <v>19</v>
      </c>
      <c r="E7" s="24" t="s">
        <v>49</v>
      </c>
      <c r="F7" s="24">
        <v>1</v>
      </c>
      <c r="G7" s="24">
        <v>157360</v>
      </c>
      <c r="H7" s="24">
        <v>26600952</v>
      </c>
      <c r="I7" s="24" t="s">
        <v>50</v>
      </c>
      <c r="J7" s="25" t="s">
        <v>24</v>
      </c>
      <c r="K7" s="25" t="s">
        <v>51</v>
      </c>
      <c r="L7" s="24" t="s">
        <v>26</v>
      </c>
      <c r="M7" s="25" t="s">
        <v>44</v>
      </c>
      <c r="N7" s="24" t="s">
        <v>26</v>
      </c>
      <c r="O7" s="24"/>
      <c r="P7" s="24"/>
      <c r="Q7" s="41"/>
      <c r="R7" s="24"/>
    </row>
    <row r="8" spans="2:18" ht="30" x14ac:dyDescent="0.25">
      <c r="B8" s="40" t="s">
        <v>40</v>
      </c>
      <c r="C8" s="24" t="s">
        <v>18</v>
      </c>
      <c r="D8" s="24" t="s">
        <v>19</v>
      </c>
      <c r="E8" s="25" t="s">
        <v>52</v>
      </c>
      <c r="F8" s="24">
        <v>2</v>
      </c>
      <c r="G8" s="24" t="s">
        <v>21</v>
      </c>
      <c r="H8" s="24">
        <v>26601028</v>
      </c>
      <c r="I8" s="24" t="s">
        <v>53</v>
      </c>
      <c r="J8" s="25" t="s">
        <v>24</v>
      </c>
      <c r="K8" s="25" t="s">
        <v>54</v>
      </c>
      <c r="L8" s="24"/>
      <c r="M8" s="25" t="s">
        <v>44</v>
      </c>
      <c r="N8" s="24"/>
      <c r="O8" s="24"/>
      <c r="P8" s="24"/>
      <c r="Q8" s="41"/>
      <c r="R8" s="24"/>
    </row>
    <row r="9" spans="2:18" ht="30" x14ac:dyDescent="0.25">
      <c r="B9" s="40" t="s">
        <v>40</v>
      </c>
      <c r="C9" s="24" t="s">
        <v>18</v>
      </c>
      <c r="D9" s="24" t="s">
        <v>19</v>
      </c>
      <c r="E9" s="24" t="s">
        <v>55</v>
      </c>
      <c r="F9" s="24">
        <v>1</v>
      </c>
      <c r="G9" s="24" t="s">
        <v>20</v>
      </c>
      <c r="H9" s="24">
        <v>26601030</v>
      </c>
      <c r="I9" s="25" t="s">
        <v>56</v>
      </c>
      <c r="J9" s="25" t="s">
        <v>24</v>
      </c>
      <c r="K9" s="25" t="s">
        <v>57</v>
      </c>
      <c r="L9" s="24" t="s">
        <v>58</v>
      </c>
      <c r="M9" s="25" t="s">
        <v>44</v>
      </c>
      <c r="N9" s="24" t="s">
        <v>59</v>
      </c>
      <c r="O9" s="24"/>
      <c r="P9" s="24"/>
      <c r="Q9" s="41"/>
      <c r="R9" s="25" t="s">
        <v>60</v>
      </c>
    </row>
    <row r="10" spans="2:18" ht="60" x14ac:dyDescent="0.25">
      <c r="B10" s="40" t="s">
        <v>40</v>
      </c>
      <c r="C10" s="24" t="s">
        <v>18</v>
      </c>
      <c r="D10" s="24" t="s">
        <v>19</v>
      </c>
      <c r="E10" s="24" t="s">
        <v>61</v>
      </c>
      <c r="F10" s="24">
        <v>1</v>
      </c>
      <c r="G10" s="24" t="s">
        <v>20</v>
      </c>
      <c r="H10" s="24">
        <v>26601089</v>
      </c>
      <c r="I10" s="24" t="s">
        <v>62</v>
      </c>
      <c r="J10" s="25" t="s">
        <v>63</v>
      </c>
      <c r="K10" s="25" t="s">
        <v>64</v>
      </c>
      <c r="L10" s="24"/>
      <c r="M10" s="25" t="s">
        <v>44</v>
      </c>
      <c r="N10" s="24"/>
      <c r="O10" s="24"/>
      <c r="P10" s="25" t="s">
        <v>65</v>
      </c>
      <c r="Q10" s="41"/>
      <c r="R10" s="24"/>
    </row>
    <row r="11" spans="2:18" ht="60" hidden="1" x14ac:dyDescent="0.25">
      <c r="B11" s="40" t="s">
        <v>66</v>
      </c>
      <c r="C11" s="24" t="s">
        <v>63</v>
      </c>
      <c r="D11" s="53" t="s">
        <v>67</v>
      </c>
      <c r="E11" s="24" t="s">
        <v>68</v>
      </c>
      <c r="F11" s="24">
        <v>1</v>
      </c>
      <c r="G11" s="24">
        <v>279652</v>
      </c>
      <c r="H11" s="24">
        <v>26600981</v>
      </c>
      <c r="I11" s="24" t="s">
        <v>69</v>
      </c>
      <c r="J11" s="25" t="s">
        <v>70</v>
      </c>
      <c r="K11" s="25" t="s">
        <v>71</v>
      </c>
      <c r="L11" s="24" t="s">
        <v>26</v>
      </c>
      <c r="M11" s="25" t="s">
        <v>44</v>
      </c>
      <c r="N11" s="24" t="s">
        <v>26</v>
      </c>
      <c r="O11" s="24"/>
      <c r="P11" s="24"/>
      <c r="Q11" s="41"/>
      <c r="R11" s="24" t="s">
        <v>72</v>
      </c>
    </row>
    <row r="12" spans="2:18" ht="120" x14ac:dyDescent="0.25">
      <c r="B12" s="40" t="s">
        <v>40</v>
      </c>
      <c r="C12" s="24" t="s">
        <v>18</v>
      </c>
      <c r="D12" s="24" t="s">
        <v>19</v>
      </c>
      <c r="E12" s="25" t="s">
        <v>73</v>
      </c>
      <c r="F12" s="24">
        <v>2</v>
      </c>
      <c r="G12" s="25" t="s">
        <v>74</v>
      </c>
      <c r="H12" s="24">
        <v>26601461</v>
      </c>
      <c r="I12" s="25" t="s">
        <v>75</v>
      </c>
      <c r="J12" s="25" t="s">
        <v>76</v>
      </c>
      <c r="K12" s="25" t="s">
        <v>77</v>
      </c>
      <c r="L12" s="24" t="s">
        <v>43</v>
      </c>
      <c r="M12" s="25" t="s">
        <v>44</v>
      </c>
      <c r="N12" s="24" t="s">
        <v>45</v>
      </c>
      <c r="O12" s="25"/>
      <c r="P12" s="25"/>
      <c r="Q12" s="39"/>
      <c r="R12" s="24" t="s">
        <v>78</v>
      </c>
    </row>
    <row r="13" spans="2:18" ht="45" x14ac:dyDescent="0.25">
      <c r="B13" s="40" t="s">
        <v>40</v>
      </c>
      <c r="C13" s="24" t="s">
        <v>18</v>
      </c>
      <c r="D13" s="24" t="s">
        <v>19</v>
      </c>
      <c r="E13" s="24" t="s">
        <v>79</v>
      </c>
      <c r="F13" s="24">
        <v>1</v>
      </c>
      <c r="G13" s="24">
        <v>230641</v>
      </c>
      <c r="H13" s="24">
        <v>26601392</v>
      </c>
      <c r="I13" s="24" t="s">
        <v>80</v>
      </c>
      <c r="J13" s="25" t="s">
        <v>81</v>
      </c>
      <c r="K13" s="25" t="s">
        <v>82</v>
      </c>
      <c r="L13" s="24" t="s">
        <v>43</v>
      </c>
      <c r="M13" s="25" t="s">
        <v>44</v>
      </c>
      <c r="N13" s="24" t="s">
        <v>45</v>
      </c>
      <c r="O13" s="25"/>
      <c r="P13" s="25"/>
      <c r="Q13" s="39"/>
      <c r="R13" s="24" t="s">
        <v>83</v>
      </c>
    </row>
    <row r="14" spans="2:18" ht="105" x14ac:dyDescent="0.25">
      <c r="B14" s="40" t="s">
        <v>40</v>
      </c>
      <c r="C14" s="24" t="s">
        <v>18</v>
      </c>
      <c r="D14" s="24" t="s">
        <v>19</v>
      </c>
      <c r="E14" s="25" t="s">
        <v>84</v>
      </c>
      <c r="F14" s="24">
        <v>2</v>
      </c>
      <c r="G14" s="25" t="s">
        <v>85</v>
      </c>
      <c r="H14" s="24">
        <v>26601391</v>
      </c>
      <c r="I14" s="25" t="s">
        <v>86</v>
      </c>
      <c r="J14" s="25" t="s">
        <v>87</v>
      </c>
      <c r="K14" s="25" t="s">
        <v>88</v>
      </c>
      <c r="L14" s="24" t="s">
        <v>43</v>
      </c>
      <c r="M14" s="25" t="s">
        <v>44</v>
      </c>
      <c r="N14" s="24" t="s">
        <v>45</v>
      </c>
      <c r="O14" s="25"/>
      <c r="P14" s="25"/>
      <c r="Q14" s="39"/>
      <c r="R14" s="24"/>
    </row>
    <row r="15" spans="2:18" hidden="1" x14ac:dyDescent="0.25">
      <c r="B15" s="40" t="s">
        <v>40</v>
      </c>
      <c r="C15" s="24" t="s">
        <v>18</v>
      </c>
      <c r="D15" s="24" t="s">
        <v>89</v>
      </c>
      <c r="E15" s="24"/>
      <c r="F15" s="24">
        <v>1</v>
      </c>
      <c r="G15" s="24"/>
      <c r="H15" s="24">
        <v>26601350</v>
      </c>
      <c r="I15" s="24" t="s">
        <v>69</v>
      </c>
      <c r="J15" s="25" t="s">
        <v>24</v>
      </c>
      <c r="K15" s="25" t="s">
        <v>90</v>
      </c>
      <c r="L15" s="24" t="s">
        <v>26</v>
      </c>
      <c r="M15" s="25" t="s">
        <v>44</v>
      </c>
      <c r="N15" s="24" t="s">
        <v>26</v>
      </c>
      <c r="O15" s="24"/>
      <c r="P15" s="24"/>
      <c r="Q15" s="41"/>
      <c r="R15" s="24"/>
    </row>
    <row r="16" spans="2:18" ht="60" x14ac:dyDescent="0.25">
      <c r="B16" s="40" t="s">
        <v>40</v>
      </c>
      <c r="C16" s="24" t="s">
        <v>18</v>
      </c>
      <c r="D16" s="24" t="s">
        <v>19</v>
      </c>
      <c r="E16" s="25" t="s">
        <v>91</v>
      </c>
      <c r="F16" s="24">
        <v>2</v>
      </c>
      <c r="G16" s="25" t="s">
        <v>92</v>
      </c>
      <c r="H16" s="24">
        <v>26601343</v>
      </c>
      <c r="I16" s="24" t="s">
        <v>93</v>
      </c>
      <c r="J16" s="25" t="s">
        <v>24</v>
      </c>
      <c r="K16" s="25" t="s">
        <v>94</v>
      </c>
      <c r="L16" s="24" t="s">
        <v>26</v>
      </c>
      <c r="M16" s="25" t="s">
        <v>44</v>
      </c>
      <c r="N16" s="24" t="s">
        <v>26</v>
      </c>
      <c r="O16" s="24"/>
      <c r="P16" s="24"/>
      <c r="Q16" s="41"/>
      <c r="R16" s="24"/>
    </row>
    <row r="17" spans="1:18" ht="45" hidden="1" x14ac:dyDescent="0.25">
      <c r="B17" s="40" t="s">
        <v>40</v>
      </c>
      <c r="C17" s="24" t="s">
        <v>18</v>
      </c>
      <c r="D17" s="24" t="s">
        <v>89</v>
      </c>
      <c r="E17" s="25" t="s">
        <v>95</v>
      </c>
      <c r="F17" s="24">
        <v>3</v>
      </c>
      <c r="G17" s="25" t="s">
        <v>96</v>
      </c>
      <c r="H17" s="24">
        <v>26601336</v>
      </c>
      <c r="I17" s="24" t="s">
        <v>69</v>
      </c>
      <c r="J17" s="25" t="s">
        <v>24</v>
      </c>
      <c r="K17" s="25" t="s">
        <v>97</v>
      </c>
      <c r="L17" s="24" t="s">
        <v>26</v>
      </c>
      <c r="M17" s="25" t="s">
        <v>44</v>
      </c>
      <c r="N17" s="24" t="s">
        <v>26</v>
      </c>
      <c r="O17" s="24"/>
      <c r="P17" s="24"/>
      <c r="Q17" s="41"/>
      <c r="R17" s="24"/>
    </row>
    <row r="18" spans="1:18" ht="90" x14ac:dyDescent="0.25">
      <c r="B18" s="40" t="s">
        <v>40</v>
      </c>
      <c r="C18" s="24" t="s">
        <v>18</v>
      </c>
      <c r="D18" s="24" t="s">
        <v>19</v>
      </c>
      <c r="E18" s="24" t="s">
        <v>98</v>
      </c>
      <c r="F18" s="24">
        <v>1</v>
      </c>
      <c r="G18" s="24">
        <v>205516</v>
      </c>
      <c r="H18" s="24">
        <v>26601282</v>
      </c>
      <c r="I18" s="1" t="s">
        <v>99</v>
      </c>
      <c r="J18" s="25" t="s">
        <v>100</v>
      </c>
      <c r="K18" s="25" t="s">
        <v>101</v>
      </c>
      <c r="L18" s="24" t="s">
        <v>43</v>
      </c>
      <c r="M18" s="25" t="s">
        <v>44</v>
      </c>
      <c r="N18" s="24" t="s">
        <v>45</v>
      </c>
      <c r="O18" s="25"/>
      <c r="P18" s="25"/>
      <c r="Q18" s="39"/>
      <c r="R18" s="24"/>
    </row>
    <row r="19" spans="1:18" ht="45" x14ac:dyDescent="0.25">
      <c r="A19" s="70"/>
      <c r="B19" s="54" t="s">
        <v>40</v>
      </c>
      <c r="C19" s="55" t="s">
        <v>18</v>
      </c>
      <c r="D19" s="55" t="s">
        <v>19</v>
      </c>
      <c r="E19" s="24" t="s">
        <v>20</v>
      </c>
      <c r="F19" s="24">
        <v>1</v>
      </c>
      <c r="G19" s="24">
        <v>235544</v>
      </c>
      <c r="H19" s="24">
        <v>26601268</v>
      </c>
      <c r="I19" s="56" t="s">
        <v>102</v>
      </c>
      <c r="J19" s="25" t="s">
        <v>103</v>
      </c>
      <c r="K19" s="25" t="s">
        <v>104</v>
      </c>
      <c r="L19" s="24" t="s">
        <v>105</v>
      </c>
      <c r="M19" s="25" t="s">
        <v>106</v>
      </c>
      <c r="N19" s="24" t="s">
        <v>45</v>
      </c>
      <c r="O19" s="25"/>
      <c r="P19" s="25"/>
      <c r="Q19" s="39"/>
      <c r="R19" s="24"/>
    </row>
    <row r="20" spans="1:18" ht="135" x14ac:dyDescent="0.25">
      <c r="B20" s="40" t="s">
        <v>40</v>
      </c>
      <c r="C20" s="24" t="s">
        <v>18</v>
      </c>
      <c r="D20" s="24" t="s">
        <v>19</v>
      </c>
      <c r="E20" s="24" t="s">
        <v>107</v>
      </c>
      <c r="F20" s="24">
        <v>1</v>
      </c>
      <c r="G20" s="24">
        <v>239830</v>
      </c>
      <c r="H20" s="24">
        <v>26601262</v>
      </c>
      <c r="I20" s="25" t="s">
        <v>108</v>
      </c>
      <c r="J20" s="25" t="s">
        <v>109</v>
      </c>
      <c r="K20" s="25" t="s">
        <v>110</v>
      </c>
      <c r="L20" s="24" t="s">
        <v>43</v>
      </c>
      <c r="M20" s="25" t="s">
        <v>106</v>
      </c>
      <c r="N20" s="24" t="s">
        <v>45</v>
      </c>
      <c r="O20" s="25"/>
      <c r="P20" s="25"/>
      <c r="Q20" s="39"/>
      <c r="R20" s="24"/>
    </row>
    <row r="21" spans="1:18" ht="90" x14ac:dyDescent="0.25">
      <c r="B21" s="40" t="s">
        <v>40</v>
      </c>
      <c r="C21" s="24" t="s">
        <v>18</v>
      </c>
      <c r="D21" s="24" t="s">
        <v>19</v>
      </c>
      <c r="E21" s="24" t="s">
        <v>111</v>
      </c>
      <c r="F21" s="24">
        <v>1</v>
      </c>
      <c r="G21" s="24">
        <v>274011</v>
      </c>
      <c r="H21" s="24">
        <v>26601261</v>
      </c>
      <c r="I21" s="25" t="s">
        <v>112</v>
      </c>
      <c r="J21" s="25" t="s">
        <v>113</v>
      </c>
      <c r="K21" s="25" t="s">
        <v>114</v>
      </c>
      <c r="L21" s="24"/>
      <c r="M21" s="25" t="s">
        <v>44</v>
      </c>
      <c r="N21" s="24" t="s">
        <v>45</v>
      </c>
      <c r="O21" s="24"/>
      <c r="P21" s="24"/>
      <c r="Q21" s="41"/>
      <c r="R21" s="24"/>
    </row>
    <row r="22" spans="1:18" ht="45" x14ac:dyDescent="0.25">
      <c r="B22" s="42" t="s">
        <v>40</v>
      </c>
      <c r="C22" s="28" t="s">
        <v>18</v>
      </c>
      <c r="D22" s="28" t="s">
        <v>19</v>
      </c>
      <c r="E22" s="28"/>
      <c r="F22" s="28">
        <v>0</v>
      </c>
      <c r="G22" s="28">
        <v>288679</v>
      </c>
      <c r="H22" s="28">
        <v>26601229</v>
      </c>
      <c r="I22" s="28" t="s">
        <v>115</v>
      </c>
      <c r="J22" s="43" t="s">
        <v>115</v>
      </c>
      <c r="K22" s="43" t="s">
        <v>116</v>
      </c>
      <c r="L22" s="28"/>
      <c r="M22" s="28" t="s">
        <v>106</v>
      </c>
      <c r="N22" s="28" t="s">
        <v>45</v>
      </c>
      <c r="O22" s="28"/>
      <c r="P22" s="28"/>
      <c r="Q22" s="44"/>
      <c r="R22" s="24"/>
    </row>
    <row r="23" spans="1:18" ht="90" x14ac:dyDescent="0.25">
      <c r="B23" s="40" t="s">
        <v>40</v>
      </c>
      <c r="C23" s="24" t="s">
        <v>18</v>
      </c>
      <c r="D23" s="55" t="s">
        <v>19</v>
      </c>
      <c r="E23" s="57" t="s">
        <v>117</v>
      </c>
      <c r="F23" s="24">
        <v>1</v>
      </c>
      <c r="G23" s="24">
        <v>288679</v>
      </c>
      <c r="H23" s="24">
        <v>26601227</v>
      </c>
      <c r="I23" s="25" t="s">
        <v>118</v>
      </c>
      <c r="J23" s="25" t="s">
        <v>113</v>
      </c>
      <c r="K23" s="25" t="s">
        <v>114</v>
      </c>
      <c r="L23" s="24" t="s">
        <v>43</v>
      </c>
      <c r="M23" s="25" t="s">
        <v>106</v>
      </c>
      <c r="N23" s="24" t="s">
        <v>45</v>
      </c>
      <c r="O23" s="25"/>
      <c r="P23" s="25"/>
      <c r="Q23" s="39"/>
      <c r="R23" s="24"/>
    </row>
    <row r="24" spans="1:18" ht="30" x14ac:dyDescent="0.25">
      <c r="B24" s="45" t="s">
        <v>40</v>
      </c>
      <c r="C24" s="29" t="s">
        <v>18</v>
      </c>
      <c r="D24" s="24" t="s">
        <v>19</v>
      </c>
      <c r="E24" s="29" t="s">
        <v>20</v>
      </c>
      <c r="F24" s="29">
        <v>1</v>
      </c>
      <c r="G24" s="29">
        <v>262321</v>
      </c>
      <c r="H24" s="29">
        <v>26601158</v>
      </c>
      <c r="I24" s="24" t="s">
        <v>80</v>
      </c>
      <c r="J24" s="30" t="s">
        <v>103</v>
      </c>
      <c r="K24" s="30" t="s">
        <v>119</v>
      </c>
      <c r="L24" s="29" t="s">
        <v>43</v>
      </c>
      <c r="M24" s="30"/>
      <c r="N24" s="29" t="s">
        <v>45</v>
      </c>
      <c r="O24" s="30"/>
      <c r="P24" s="30"/>
      <c r="Q24" s="46"/>
      <c r="R24" s="24"/>
    </row>
    <row r="25" spans="1:18" ht="75" hidden="1" x14ac:dyDescent="0.25">
      <c r="B25" s="40" t="s">
        <v>40</v>
      </c>
      <c r="C25" s="24" t="s">
        <v>18</v>
      </c>
      <c r="D25" s="24" t="s">
        <v>89</v>
      </c>
      <c r="E25" s="24" t="s">
        <v>20</v>
      </c>
      <c r="F25" s="24">
        <v>5</v>
      </c>
      <c r="G25" s="25" t="s">
        <v>120</v>
      </c>
      <c r="H25" s="24">
        <v>26601110</v>
      </c>
      <c r="I25" s="24" t="s">
        <v>69</v>
      </c>
      <c r="J25" s="25" t="s">
        <v>24</v>
      </c>
      <c r="K25" s="25" t="s">
        <v>121</v>
      </c>
      <c r="L25" s="24" t="s">
        <v>26</v>
      </c>
      <c r="M25" s="25" t="s">
        <v>122</v>
      </c>
      <c r="N25" s="24" t="s">
        <v>26</v>
      </c>
      <c r="O25" s="24"/>
      <c r="P25" s="24"/>
      <c r="Q25" s="41"/>
      <c r="R25" s="24"/>
    </row>
    <row r="26" spans="1:18" ht="30" x14ac:dyDescent="0.25">
      <c r="B26" s="54" t="s">
        <v>17</v>
      </c>
      <c r="C26" s="55" t="s">
        <v>18</v>
      </c>
      <c r="D26" s="55" t="s">
        <v>19</v>
      </c>
      <c r="E26" s="24" t="s">
        <v>20</v>
      </c>
      <c r="F26" s="24">
        <v>1</v>
      </c>
      <c r="G26" s="24">
        <v>224026</v>
      </c>
      <c r="H26" s="24"/>
      <c r="I26" s="58" t="s">
        <v>123</v>
      </c>
      <c r="J26" s="25" t="s">
        <v>81</v>
      </c>
      <c r="K26" s="25"/>
      <c r="L26" s="24" t="s">
        <v>105</v>
      </c>
      <c r="M26" s="25" t="s">
        <v>124</v>
      </c>
      <c r="N26" s="24"/>
      <c r="O26" s="25"/>
      <c r="P26" s="25"/>
      <c r="Q26" s="39"/>
      <c r="R26" s="24"/>
    </row>
    <row r="27" spans="1:18" ht="30" x14ac:dyDescent="0.25">
      <c r="B27" s="59" t="s">
        <v>17</v>
      </c>
      <c r="C27" s="60" t="s">
        <v>18</v>
      </c>
      <c r="D27" s="55" t="s">
        <v>19</v>
      </c>
      <c r="E27" s="31" t="s">
        <v>20</v>
      </c>
      <c r="F27" s="31">
        <v>1</v>
      </c>
      <c r="G27" s="31">
        <v>208180</v>
      </c>
      <c r="H27" s="31" t="s">
        <v>24</v>
      </c>
      <c r="I27" s="58" t="s">
        <v>123</v>
      </c>
      <c r="J27" s="32" t="s">
        <v>24</v>
      </c>
      <c r="K27" s="32" t="s">
        <v>125</v>
      </c>
      <c r="L27" s="24" t="s">
        <v>105</v>
      </c>
      <c r="M27" s="32" t="s">
        <v>125</v>
      </c>
      <c r="N27" s="31"/>
      <c r="O27" s="32"/>
      <c r="P27" s="32"/>
      <c r="Q27" s="47"/>
      <c r="R27" s="24"/>
    </row>
    <row r="28" spans="1:18" ht="30" x14ac:dyDescent="0.25">
      <c r="B28" s="40" t="s">
        <v>17</v>
      </c>
      <c r="C28" s="55" t="s">
        <v>18</v>
      </c>
      <c r="D28" s="55" t="s">
        <v>19</v>
      </c>
      <c r="E28" s="24" t="s">
        <v>20</v>
      </c>
      <c r="F28" s="24">
        <v>1</v>
      </c>
      <c r="G28" s="24">
        <v>271651</v>
      </c>
      <c r="H28" s="24">
        <v>26600876</v>
      </c>
      <c r="I28" s="58" t="s">
        <v>123</v>
      </c>
      <c r="J28" s="25" t="s">
        <v>81</v>
      </c>
      <c r="K28" s="25"/>
      <c r="L28" s="24" t="s">
        <v>105</v>
      </c>
      <c r="M28" s="25" t="s">
        <v>44</v>
      </c>
      <c r="N28" s="24"/>
      <c r="O28" s="25"/>
      <c r="P28" s="25"/>
      <c r="Q28" s="39"/>
      <c r="R28" s="24"/>
    </row>
    <row r="29" spans="1:18" hidden="1" x14ac:dyDescent="0.25">
      <c r="B29" s="40" t="s">
        <v>66</v>
      </c>
      <c r="C29" s="24" t="s">
        <v>126</v>
      </c>
      <c r="D29" s="24" t="s">
        <v>89</v>
      </c>
      <c r="E29" s="24" t="s">
        <v>127</v>
      </c>
      <c r="F29" s="24">
        <v>1</v>
      </c>
      <c r="G29" s="24">
        <v>289093</v>
      </c>
      <c r="H29" s="24" t="s">
        <v>24</v>
      </c>
      <c r="I29" s="24" t="s">
        <v>103</v>
      </c>
      <c r="J29" s="24" t="s">
        <v>24</v>
      </c>
      <c r="K29" s="24" t="s">
        <v>128</v>
      </c>
      <c r="L29" s="24" t="s">
        <v>105</v>
      </c>
      <c r="M29" s="25" t="s">
        <v>128</v>
      </c>
      <c r="N29" s="24"/>
      <c r="O29" s="25"/>
      <c r="P29" s="25"/>
      <c r="Q29" s="39"/>
      <c r="R29" s="24"/>
    </row>
    <row r="30" spans="1:18" hidden="1" x14ac:dyDescent="0.25">
      <c r="B30" s="40" t="s">
        <v>66</v>
      </c>
      <c r="C30" s="24" t="s">
        <v>126</v>
      </c>
      <c r="D30" s="24" t="s">
        <v>89</v>
      </c>
      <c r="E30" s="24" t="s">
        <v>20</v>
      </c>
      <c r="F30" s="24">
        <v>1</v>
      </c>
      <c r="G30" s="24">
        <v>261598</v>
      </c>
      <c r="H30" s="24" t="s">
        <v>24</v>
      </c>
      <c r="I30" s="24" t="s">
        <v>103</v>
      </c>
      <c r="J30" s="24" t="s">
        <v>24</v>
      </c>
      <c r="K30" s="24" t="s">
        <v>129</v>
      </c>
      <c r="L30" s="24" t="s">
        <v>105</v>
      </c>
      <c r="M30" s="25" t="s">
        <v>129</v>
      </c>
      <c r="N30" s="24"/>
      <c r="O30" s="25"/>
      <c r="P30" s="25"/>
      <c r="Q30" s="39"/>
      <c r="R30" s="24"/>
    </row>
    <row r="31" spans="1:18" hidden="1" x14ac:dyDescent="0.25">
      <c r="B31" s="40" t="s">
        <v>66</v>
      </c>
      <c r="C31" s="24" t="s">
        <v>126</v>
      </c>
      <c r="D31" s="24" t="s">
        <v>89</v>
      </c>
      <c r="E31" s="24" t="s">
        <v>20</v>
      </c>
      <c r="F31" s="24">
        <v>1</v>
      </c>
      <c r="G31" s="24">
        <v>228146</v>
      </c>
      <c r="H31" s="24" t="s">
        <v>24</v>
      </c>
      <c r="I31" s="24" t="s">
        <v>103</v>
      </c>
      <c r="J31" s="24" t="s">
        <v>24</v>
      </c>
      <c r="K31" s="24" t="s">
        <v>130</v>
      </c>
      <c r="L31" s="24" t="s">
        <v>105</v>
      </c>
      <c r="M31" s="25" t="s">
        <v>130</v>
      </c>
      <c r="N31" s="24"/>
      <c r="O31" s="25"/>
      <c r="P31" s="25"/>
      <c r="Q31" s="39"/>
      <c r="R31" s="24"/>
    </row>
    <row r="32" spans="1:18" hidden="1" x14ac:dyDescent="0.25">
      <c r="B32" s="40" t="s">
        <v>66</v>
      </c>
      <c r="C32" s="24" t="s">
        <v>126</v>
      </c>
      <c r="D32" s="24" t="s">
        <v>89</v>
      </c>
      <c r="E32" s="24" t="s">
        <v>20</v>
      </c>
      <c r="F32" s="24">
        <v>1</v>
      </c>
      <c r="G32" s="24">
        <v>278690</v>
      </c>
      <c r="H32" s="24" t="s">
        <v>24</v>
      </c>
      <c r="I32" s="24" t="s">
        <v>103</v>
      </c>
      <c r="J32" s="24" t="s">
        <v>24</v>
      </c>
      <c r="K32" s="24" t="s">
        <v>124</v>
      </c>
      <c r="L32" s="24" t="s">
        <v>105</v>
      </c>
      <c r="M32" s="25" t="s">
        <v>124</v>
      </c>
      <c r="N32" s="24"/>
      <c r="O32" s="25"/>
      <c r="P32" s="25"/>
      <c r="Q32" s="39"/>
      <c r="R32" s="24"/>
    </row>
    <row r="33" spans="2:18" hidden="1" x14ac:dyDescent="0.25">
      <c r="B33" s="40" t="s">
        <v>66</v>
      </c>
      <c r="C33" s="24" t="s">
        <v>126</v>
      </c>
      <c r="D33" s="24" t="s">
        <v>89</v>
      </c>
      <c r="E33" s="24" t="s">
        <v>20</v>
      </c>
      <c r="F33" s="24">
        <v>1</v>
      </c>
      <c r="G33" s="24">
        <v>272706</v>
      </c>
      <c r="H33" s="24" t="s">
        <v>24</v>
      </c>
      <c r="I33" s="24" t="s">
        <v>103</v>
      </c>
      <c r="J33" s="24" t="s">
        <v>24</v>
      </c>
      <c r="K33" s="24" t="s">
        <v>124</v>
      </c>
      <c r="L33" s="24" t="s">
        <v>105</v>
      </c>
      <c r="M33" s="25" t="s">
        <v>124</v>
      </c>
      <c r="N33" s="24"/>
      <c r="O33" s="25"/>
      <c r="P33" s="25"/>
      <c r="Q33" s="39"/>
      <c r="R33" s="24"/>
    </row>
    <row r="34" spans="2:18" hidden="1" x14ac:dyDescent="0.25">
      <c r="B34" s="40" t="s">
        <v>66</v>
      </c>
      <c r="C34" s="24" t="s">
        <v>126</v>
      </c>
      <c r="D34" s="24" t="s">
        <v>89</v>
      </c>
      <c r="E34" s="24" t="s">
        <v>20</v>
      </c>
      <c r="F34" s="24">
        <v>1</v>
      </c>
      <c r="G34" s="24">
        <v>263692</v>
      </c>
      <c r="H34" s="24" t="s">
        <v>24</v>
      </c>
      <c r="I34" s="24" t="s">
        <v>103</v>
      </c>
      <c r="J34" s="24" t="s">
        <v>24</v>
      </c>
      <c r="K34" s="24" t="s">
        <v>124</v>
      </c>
      <c r="L34" s="24" t="s">
        <v>105</v>
      </c>
      <c r="M34" s="25" t="s">
        <v>124</v>
      </c>
      <c r="N34" s="24"/>
      <c r="O34" s="25"/>
      <c r="P34" s="25"/>
      <c r="Q34" s="39"/>
      <c r="R34" s="24"/>
    </row>
    <row r="35" spans="2:18" ht="75" x14ac:dyDescent="0.25">
      <c r="B35" s="40" t="s">
        <v>40</v>
      </c>
      <c r="C35" s="24" t="s">
        <v>18</v>
      </c>
      <c r="D35" s="24" t="s">
        <v>19</v>
      </c>
      <c r="E35" s="24" t="s">
        <v>131</v>
      </c>
      <c r="F35" s="24">
        <v>1</v>
      </c>
      <c r="G35" s="24">
        <v>280983</v>
      </c>
      <c r="H35" s="24">
        <v>26601472</v>
      </c>
      <c r="I35" s="25" t="s">
        <v>132</v>
      </c>
      <c r="J35" s="25" t="s">
        <v>133</v>
      </c>
      <c r="K35" s="25" t="s">
        <v>134</v>
      </c>
      <c r="L35" s="24" t="s">
        <v>135</v>
      </c>
      <c r="M35" s="25" t="s">
        <v>44</v>
      </c>
      <c r="N35" s="24" t="s">
        <v>59</v>
      </c>
      <c r="O35" s="25"/>
      <c r="P35" s="25"/>
      <c r="Q35" s="39"/>
      <c r="R35" s="25" t="s">
        <v>136</v>
      </c>
    </row>
    <row r="36" spans="2:18" ht="75" x14ac:dyDescent="0.25">
      <c r="B36" s="40" t="s">
        <v>40</v>
      </c>
      <c r="C36" s="24" t="s">
        <v>18</v>
      </c>
      <c r="D36" s="24" t="s">
        <v>19</v>
      </c>
      <c r="E36" s="24" t="s">
        <v>137</v>
      </c>
      <c r="F36" s="24">
        <v>1</v>
      </c>
      <c r="G36" s="24">
        <v>264572</v>
      </c>
      <c r="H36" s="24">
        <v>26601473</v>
      </c>
      <c r="I36" s="25" t="s">
        <v>132</v>
      </c>
      <c r="J36" s="25" t="s">
        <v>138</v>
      </c>
      <c r="K36" s="25" t="s">
        <v>139</v>
      </c>
      <c r="L36" s="24" t="s">
        <v>105</v>
      </c>
      <c r="M36" s="25" t="s">
        <v>44</v>
      </c>
      <c r="N36" s="24" t="s">
        <v>59</v>
      </c>
      <c r="O36" s="25"/>
      <c r="P36" s="25"/>
      <c r="Q36" s="39"/>
      <c r="R36" s="25" t="s">
        <v>136</v>
      </c>
    </row>
    <row r="37" spans="2:18" ht="60" x14ac:dyDescent="0.25">
      <c r="B37" s="40" t="s">
        <v>40</v>
      </c>
      <c r="C37" s="24" t="s">
        <v>18</v>
      </c>
      <c r="D37" s="24" t="s">
        <v>19</v>
      </c>
      <c r="E37" s="25" t="s">
        <v>140</v>
      </c>
      <c r="F37" s="24">
        <v>2</v>
      </c>
      <c r="G37" s="25" t="s">
        <v>141</v>
      </c>
      <c r="H37" s="24">
        <v>26601497</v>
      </c>
      <c r="I37" s="24" t="s">
        <v>142</v>
      </c>
      <c r="J37" s="25" t="s">
        <v>143</v>
      </c>
      <c r="K37" s="25" t="s">
        <v>144</v>
      </c>
      <c r="L37" s="25" t="s">
        <v>145</v>
      </c>
      <c r="M37" s="25" t="s">
        <v>44</v>
      </c>
      <c r="N37" s="24" t="s">
        <v>59</v>
      </c>
      <c r="O37" s="25"/>
      <c r="P37" s="25"/>
      <c r="Q37" s="39"/>
      <c r="R37" s="25" t="s">
        <v>136</v>
      </c>
    </row>
    <row r="38" spans="2:18" ht="132.75" customHeight="1" x14ac:dyDescent="0.25">
      <c r="B38" s="40" t="s">
        <v>40</v>
      </c>
      <c r="C38" s="24" t="s">
        <v>18</v>
      </c>
      <c r="D38" s="24" t="s">
        <v>19</v>
      </c>
      <c r="E38" s="24" t="s">
        <v>146</v>
      </c>
      <c r="F38" s="24">
        <v>1</v>
      </c>
      <c r="G38" s="24">
        <v>204556</v>
      </c>
      <c r="H38" s="24">
        <v>26601525</v>
      </c>
      <c r="I38" s="25" t="s">
        <v>75</v>
      </c>
      <c r="J38" s="25" t="s">
        <v>76</v>
      </c>
      <c r="K38" s="25" t="s">
        <v>147</v>
      </c>
      <c r="L38" s="24" t="s">
        <v>105</v>
      </c>
      <c r="M38" s="25" t="s">
        <v>44</v>
      </c>
      <c r="N38" s="24" t="s">
        <v>59</v>
      </c>
      <c r="O38" s="25"/>
      <c r="P38" s="25"/>
      <c r="Q38" s="39"/>
      <c r="R38" s="24" t="s">
        <v>78</v>
      </c>
    </row>
    <row r="39" spans="2:18" ht="150" x14ac:dyDescent="0.25">
      <c r="B39" s="40" t="s">
        <v>17</v>
      </c>
      <c r="C39" s="24" t="s">
        <v>18</v>
      </c>
      <c r="D39" s="24" t="s">
        <v>19</v>
      </c>
      <c r="E39" s="25" t="s">
        <v>148</v>
      </c>
      <c r="F39" s="24">
        <v>1</v>
      </c>
      <c r="G39" s="24">
        <v>157085</v>
      </c>
      <c r="H39" s="24">
        <v>26601475</v>
      </c>
      <c r="I39" s="1" t="s">
        <v>149</v>
      </c>
      <c r="J39" s="25" t="s">
        <v>150</v>
      </c>
      <c r="K39" s="25" t="s">
        <v>151</v>
      </c>
      <c r="L39" s="24"/>
      <c r="M39" s="25" t="s">
        <v>44</v>
      </c>
      <c r="N39" s="24" t="s">
        <v>59</v>
      </c>
      <c r="O39" s="24"/>
      <c r="P39" s="24"/>
      <c r="Q39" s="41"/>
      <c r="R39" s="24"/>
    </row>
    <row r="40" spans="2:18" ht="120" x14ac:dyDescent="0.25">
      <c r="B40" s="40" t="s">
        <v>17</v>
      </c>
      <c r="C40" s="24" t="s">
        <v>18</v>
      </c>
      <c r="D40" s="24" t="s">
        <v>19</v>
      </c>
      <c r="E40" s="24" t="s">
        <v>152</v>
      </c>
      <c r="F40" s="24">
        <v>1</v>
      </c>
      <c r="G40" s="24">
        <v>237172</v>
      </c>
      <c r="H40" s="24">
        <v>26601469</v>
      </c>
      <c r="I40" s="25" t="s">
        <v>75</v>
      </c>
      <c r="J40" s="25" t="s">
        <v>76</v>
      </c>
      <c r="K40" s="25" t="s">
        <v>153</v>
      </c>
      <c r="L40" s="24"/>
      <c r="M40" s="25" t="s">
        <v>44</v>
      </c>
      <c r="N40" s="24" t="s">
        <v>59</v>
      </c>
      <c r="O40" s="24"/>
      <c r="P40" s="24"/>
      <c r="Q40" s="41"/>
      <c r="R40" s="25" t="s">
        <v>136</v>
      </c>
    </row>
    <row r="41" spans="2:18" x14ac:dyDescent="0.25">
      <c r="B41" s="40" t="s">
        <v>17</v>
      </c>
      <c r="C41" s="24" t="s">
        <v>18</v>
      </c>
      <c r="D41" s="24" t="s">
        <v>19</v>
      </c>
      <c r="E41" s="24" t="s">
        <v>154</v>
      </c>
      <c r="F41" s="24">
        <v>1</v>
      </c>
      <c r="G41" s="24">
        <v>274011</v>
      </c>
      <c r="H41" s="24">
        <v>26600970</v>
      </c>
      <c r="I41" s="61" t="s">
        <v>155</v>
      </c>
      <c r="J41" s="25" t="s">
        <v>113</v>
      </c>
      <c r="K41" s="25" t="s">
        <v>156</v>
      </c>
      <c r="L41" s="24"/>
      <c r="M41" s="25" t="s">
        <v>44</v>
      </c>
      <c r="N41" s="24" t="s">
        <v>59</v>
      </c>
      <c r="O41" s="24"/>
      <c r="P41" s="24"/>
      <c r="Q41" s="41"/>
      <c r="R41" s="24" t="s">
        <v>157</v>
      </c>
    </row>
    <row r="42" spans="2:18" ht="30" hidden="1" x14ac:dyDescent="0.25">
      <c r="B42" s="40" t="s">
        <v>66</v>
      </c>
      <c r="C42" s="24" t="s">
        <v>126</v>
      </c>
      <c r="D42" s="24" t="s">
        <v>89</v>
      </c>
      <c r="E42" s="24" t="s">
        <v>20</v>
      </c>
      <c r="F42" s="24">
        <v>1</v>
      </c>
      <c r="G42" s="24">
        <v>259711</v>
      </c>
      <c r="H42" s="24">
        <v>26601521</v>
      </c>
      <c r="I42" s="24" t="s">
        <v>30</v>
      </c>
      <c r="J42" s="24" t="s">
        <v>24</v>
      </c>
      <c r="K42" s="25" t="s">
        <v>158</v>
      </c>
      <c r="L42" s="24"/>
      <c r="M42" s="25" t="s">
        <v>44</v>
      </c>
      <c r="N42" s="24" t="s">
        <v>59</v>
      </c>
      <c r="O42" s="24"/>
      <c r="P42" s="24"/>
      <c r="Q42" s="41"/>
      <c r="R42" s="24"/>
    </row>
    <row r="43" spans="2:18" ht="45" hidden="1" x14ac:dyDescent="0.25">
      <c r="B43" s="42" t="s">
        <v>66</v>
      </c>
      <c r="C43" s="28" t="s">
        <v>159</v>
      </c>
      <c r="D43" s="28" t="s">
        <v>160</v>
      </c>
      <c r="E43" s="28"/>
      <c r="F43" s="28">
        <v>1</v>
      </c>
      <c r="G43" s="28"/>
      <c r="H43" s="28">
        <v>26601520</v>
      </c>
      <c r="I43" s="28" t="s">
        <v>115</v>
      </c>
      <c r="J43" s="28" t="s">
        <v>115</v>
      </c>
      <c r="K43" s="43" t="s">
        <v>161</v>
      </c>
      <c r="L43" s="28"/>
      <c r="M43" s="28" t="s">
        <v>115</v>
      </c>
      <c r="N43" s="28"/>
      <c r="O43" s="28"/>
      <c r="P43" s="28"/>
      <c r="Q43" s="44"/>
      <c r="R43" s="24"/>
    </row>
    <row r="44" spans="2:18" ht="105" hidden="1" x14ac:dyDescent="0.25">
      <c r="B44" s="40" t="s">
        <v>66</v>
      </c>
      <c r="C44" s="24" t="s">
        <v>159</v>
      </c>
      <c r="D44" s="24" t="s">
        <v>89</v>
      </c>
      <c r="E44" s="24" t="s">
        <v>162</v>
      </c>
      <c r="F44" s="24">
        <v>1</v>
      </c>
      <c r="G44" s="24">
        <v>281786</v>
      </c>
      <c r="H44" s="24">
        <v>26601517</v>
      </c>
      <c r="I44" s="24" t="s">
        <v>30</v>
      </c>
      <c r="J44" s="25" t="s">
        <v>163</v>
      </c>
      <c r="K44" s="25" t="s">
        <v>164</v>
      </c>
      <c r="L44" s="24" t="s">
        <v>105</v>
      </c>
      <c r="M44" s="25" t="s">
        <v>44</v>
      </c>
      <c r="N44" s="24" t="s">
        <v>59</v>
      </c>
      <c r="O44" s="25"/>
      <c r="P44" s="25"/>
      <c r="Q44" s="39"/>
      <c r="R44" s="24"/>
    </row>
    <row r="45" spans="2:18" ht="105" hidden="1" x14ac:dyDescent="0.25">
      <c r="B45" s="40" t="s">
        <v>66</v>
      </c>
      <c r="C45" s="24" t="s">
        <v>159</v>
      </c>
      <c r="D45" s="24" t="s">
        <v>89</v>
      </c>
      <c r="E45" s="24" t="s">
        <v>165</v>
      </c>
      <c r="F45" s="24">
        <v>1</v>
      </c>
      <c r="G45" s="24">
        <v>291435</v>
      </c>
      <c r="H45" s="24">
        <v>26601507</v>
      </c>
      <c r="I45" s="24" t="s">
        <v>30</v>
      </c>
      <c r="J45" s="25" t="s">
        <v>166</v>
      </c>
      <c r="K45" s="25" t="s">
        <v>167</v>
      </c>
      <c r="L45" s="24"/>
      <c r="M45" s="25" t="s">
        <v>44</v>
      </c>
      <c r="N45" s="24" t="s">
        <v>59</v>
      </c>
      <c r="O45" s="24"/>
      <c r="P45" s="24"/>
      <c r="Q45" s="41"/>
      <c r="R45" s="24"/>
    </row>
    <row r="46" spans="2:18" ht="120" x14ac:dyDescent="0.25">
      <c r="B46" s="40" t="s">
        <v>17</v>
      </c>
      <c r="C46" s="24" t="s">
        <v>18</v>
      </c>
      <c r="D46" s="24" t="s">
        <v>19</v>
      </c>
      <c r="E46" s="24" t="s">
        <v>168</v>
      </c>
      <c r="F46" s="24">
        <v>1</v>
      </c>
      <c r="G46" s="24">
        <v>210375</v>
      </c>
      <c r="H46" s="24">
        <v>26601529</v>
      </c>
      <c r="I46" s="24" t="s">
        <v>169</v>
      </c>
      <c r="J46" s="25" t="s">
        <v>170</v>
      </c>
      <c r="K46" s="25" t="s">
        <v>171</v>
      </c>
      <c r="L46" s="24" t="s">
        <v>105</v>
      </c>
      <c r="M46" s="25" t="s">
        <v>44</v>
      </c>
      <c r="N46" s="24" t="s">
        <v>59</v>
      </c>
      <c r="O46" s="25"/>
      <c r="P46" s="25"/>
      <c r="Q46" s="39"/>
      <c r="R46" s="25" t="s">
        <v>136</v>
      </c>
    </row>
    <row r="47" spans="2:18" ht="60" x14ac:dyDescent="0.25">
      <c r="B47" s="40" t="s">
        <v>17</v>
      </c>
      <c r="C47" s="24" t="s">
        <v>18</v>
      </c>
      <c r="D47" s="24" t="s">
        <v>19</v>
      </c>
      <c r="E47" s="24" t="s">
        <v>172</v>
      </c>
      <c r="F47" s="24">
        <v>1</v>
      </c>
      <c r="G47" s="24">
        <v>264090</v>
      </c>
      <c r="H47" s="24">
        <v>26601553</v>
      </c>
      <c r="I47" s="62" t="s">
        <v>173</v>
      </c>
      <c r="J47" s="62" t="s">
        <v>174</v>
      </c>
      <c r="K47" s="25" t="s">
        <v>175</v>
      </c>
      <c r="L47" s="24" t="s">
        <v>105</v>
      </c>
      <c r="M47" s="25" t="s">
        <v>44</v>
      </c>
      <c r="N47" s="24" t="s">
        <v>59</v>
      </c>
      <c r="O47" s="25"/>
      <c r="P47" s="25"/>
      <c r="Q47" s="39"/>
      <c r="R47" s="24"/>
    </row>
    <row r="48" spans="2:18" ht="75" x14ac:dyDescent="0.25">
      <c r="B48" s="40" t="s">
        <v>17</v>
      </c>
      <c r="C48" s="24" t="s">
        <v>18</v>
      </c>
      <c r="D48" s="24" t="s">
        <v>19</v>
      </c>
      <c r="E48" s="24" t="s">
        <v>176</v>
      </c>
      <c r="F48" s="24">
        <v>1</v>
      </c>
      <c r="G48" s="24">
        <v>293660</v>
      </c>
      <c r="H48" s="24">
        <v>26601709</v>
      </c>
      <c r="I48" s="63" t="s">
        <v>80</v>
      </c>
      <c r="J48" s="25" t="s">
        <v>177</v>
      </c>
      <c r="K48" s="25" t="s">
        <v>178</v>
      </c>
      <c r="L48" s="24" t="s">
        <v>179</v>
      </c>
      <c r="M48" s="25" t="s">
        <v>44</v>
      </c>
      <c r="N48" s="24" t="s">
        <v>59</v>
      </c>
      <c r="O48" s="24"/>
      <c r="P48" s="24"/>
      <c r="Q48" s="41"/>
      <c r="R48" s="24" t="s">
        <v>83</v>
      </c>
    </row>
    <row r="49" spans="2:18" ht="30" x14ac:dyDescent="0.25">
      <c r="B49" s="40" t="s">
        <v>17</v>
      </c>
      <c r="C49" s="24" t="s">
        <v>18</v>
      </c>
      <c r="D49" s="24" t="s">
        <v>19</v>
      </c>
      <c r="E49" s="24" t="s">
        <v>180</v>
      </c>
      <c r="F49" s="24">
        <v>1</v>
      </c>
      <c r="G49" s="24">
        <v>204568</v>
      </c>
      <c r="H49" s="24" t="s">
        <v>181</v>
      </c>
      <c r="I49" s="63" t="s">
        <v>182</v>
      </c>
      <c r="J49" s="24" t="s">
        <v>24</v>
      </c>
      <c r="K49" s="25" t="s">
        <v>183</v>
      </c>
      <c r="L49" s="24" t="s">
        <v>179</v>
      </c>
      <c r="M49" s="25" t="s">
        <v>44</v>
      </c>
      <c r="N49" s="24" t="s">
        <v>59</v>
      </c>
      <c r="O49" s="24"/>
      <c r="P49" s="24"/>
      <c r="Q49" s="41"/>
      <c r="R49" s="24"/>
    </row>
    <row r="50" spans="2:18" ht="45" x14ac:dyDescent="0.25">
      <c r="B50" s="40" t="s">
        <v>17</v>
      </c>
      <c r="C50" s="24" t="s">
        <v>18</v>
      </c>
      <c r="D50" s="24" t="s">
        <v>19</v>
      </c>
      <c r="E50" s="24" t="s">
        <v>184</v>
      </c>
      <c r="F50" s="24">
        <v>1</v>
      </c>
      <c r="G50" s="24">
        <v>292963</v>
      </c>
      <c r="H50" s="24" t="s">
        <v>185</v>
      </c>
      <c r="I50" s="64" t="s">
        <v>186</v>
      </c>
      <c r="J50" s="24" t="s">
        <v>24</v>
      </c>
      <c r="K50" s="25" t="s">
        <v>187</v>
      </c>
      <c r="L50" s="24" t="s">
        <v>135</v>
      </c>
      <c r="M50" s="25" t="s">
        <v>44</v>
      </c>
      <c r="N50" s="24" t="s">
        <v>59</v>
      </c>
      <c r="O50" s="24"/>
      <c r="P50" s="24"/>
      <c r="Q50" s="41"/>
      <c r="R50" s="24"/>
    </row>
    <row r="51" spans="2:18" ht="120" x14ac:dyDescent="0.25">
      <c r="B51" s="40" t="s">
        <v>17</v>
      </c>
      <c r="C51" s="24" t="s">
        <v>18</v>
      </c>
      <c r="D51" s="24" t="s">
        <v>19</v>
      </c>
      <c r="E51" s="24" t="s">
        <v>188</v>
      </c>
      <c r="F51" s="24">
        <v>1</v>
      </c>
      <c r="G51" s="24">
        <v>236260</v>
      </c>
      <c r="H51" s="24" t="s">
        <v>189</v>
      </c>
      <c r="I51" s="25" t="s">
        <v>190</v>
      </c>
      <c r="J51" s="24" t="s">
        <v>24</v>
      </c>
      <c r="K51" s="25" t="s">
        <v>191</v>
      </c>
      <c r="L51" s="24" t="s">
        <v>135</v>
      </c>
      <c r="M51" s="25" t="s">
        <v>44</v>
      </c>
      <c r="N51" s="24" t="s">
        <v>59</v>
      </c>
      <c r="O51" s="24"/>
      <c r="P51" s="24"/>
      <c r="Q51" s="41"/>
      <c r="R51" s="24"/>
    </row>
    <row r="52" spans="2:18" ht="45" x14ac:dyDescent="0.25">
      <c r="B52" s="40" t="s">
        <v>17</v>
      </c>
      <c r="C52" s="24" t="s">
        <v>18</v>
      </c>
      <c r="D52" s="24" t="s">
        <v>19</v>
      </c>
      <c r="E52" s="24" t="s">
        <v>192</v>
      </c>
      <c r="F52" s="24">
        <v>1</v>
      </c>
      <c r="G52" s="24">
        <v>238995</v>
      </c>
      <c r="H52" s="24">
        <v>26601593</v>
      </c>
      <c r="I52" s="24" t="s">
        <v>193</v>
      </c>
      <c r="J52" s="24" t="s">
        <v>24</v>
      </c>
      <c r="K52" s="25" t="s">
        <v>194</v>
      </c>
      <c r="L52" s="24" t="s">
        <v>135</v>
      </c>
      <c r="M52" s="25" t="s">
        <v>44</v>
      </c>
      <c r="N52" s="24" t="s">
        <v>26</v>
      </c>
      <c r="O52" s="24"/>
      <c r="P52" s="24"/>
      <c r="Q52" s="41"/>
      <c r="R52" s="24"/>
    </row>
    <row r="53" spans="2:18" ht="120" x14ac:dyDescent="0.25">
      <c r="B53" s="48" t="s">
        <v>17</v>
      </c>
      <c r="C53" s="26" t="s">
        <v>18</v>
      </c>
      <c r="D53" s="26" t="s">
        <v>19</v>
      </c>
      <c r="E53" s="26" t="s">
        <v>195</v>
      </c>
      <c r="F53" s="26">
        <v>1</v>
      </c>
      <c r="G53" s="26">
        <v>288150</v>
      </c>
      <c r="H53" s="26">
        <v>26601587</v>
      </c>
      <c r="I53" s="63" t="s">
        <v>196</v>
      </c>
      <c r="J53" s="26" t="s">
        <v>24</v>
      </c>
      <c r="K53" s="27" t="s">
        <v>197</v>
      </c>
      <c r="L53" s="26" t="s">
        <v>135</v>
      </c>
      <c r="M53" s="27" t="s">
        <v>198</v>
      </c>
      <c r="N53" s="26" t="s">
        <v>59</v>
      </c>
      <c r="O53" s="26"/>
      <c r="P53" s="26"/>
      <c r="Q53" s="49"/>
      <c r="R53" s="24"/>
    </row>
    <row r="54" spans="2:18" ht="45" hidden="1" x14ac:dyDescent="0.25">
      <c r="B54" s="40" t="s">
        <v>66</v>
      </c>
      <c r="C54" s="24" t="s">
        <v>159</v>
      </c>
      <c r="D54" s="24" t="s">
        <v>89</v>
      </c>
      <c r="E54" s="24" t="s">
        <v>20</v>
      </c>
      <c r="F54" s="24">
        <v>1</v>
      </c>
      <c r="G54" s="24">
        <v>291767</v>
      </c>
      <c r="H54" s="50">
        <v>26601604</v>
      </c>
      <c r="I54" s="24" t="s">
        <v>69</v>
      </c>
      <c r="J54" s="25" t="s">
        <v>199</v>
      </c>
      <c r="K54" s="25" t="s">
        <v>200</v>
      </c>
      <c r="L54" s="24" t="s">
        <v>26</v>
      </c>
      <c r="M54" s="27" t="s">
        <v>198</v>
      </c>
      <c r="N54" s="24" t="s">
        <v>26</v>
      </c>
      <c r="O54" s="24"/>
      <c r="P54" s="24"/>
      <c r="Q54" s="41"/>
      <c r="R54" s="24"/>
    </row>
    <row r="55" spans="2:18" ht="45" hidden="1" x14ac:dyDescent="0.25">
      <c r="B55" s="40" t="s">
        <v>66</v>
      </c>
      <c r="C55" s="24" t="s">
        <v>159</v>
      </c>
      <c r="D55" s="24" t="s">
        <v>89</v>
      </c>
      <c r="E55" s="24" t="s">
        <v>201</v>
      </c>
      <c r="F55" s="24">
        <v>1</v>
      </c>
      <c r="G55" s="24">
        <v>291562</v>
      </c>
      <c r="H55" s="50">
        <v>26601594</v>
      </c>
      <c r="I55" s="24" t="s">
        <v>30</v>
      </c>
      <c r="J55" s="24" t="s">
        <v>24</v>
      </c>
      <c r="K55" s="25" t="s">
        <v>202</v>
      </c>
      <c r="L55" s="24" t="s">
        <v>135</v>
      </c>
      <c r="M55" s="25" t="s">
        <v>44</v>
      </c>
      <c r="N55" s="24" t="s">
        <v>59</v>
      </c>
      <c r="O55" s="24"/>
      <c r="P55" s="24"/>
      <c r="Q55" s="41"/>
      <c r="R55" s="24"/>
    </row>
    <row r="56" spans="2:18" ht="30" hidden="1" x14ac:dyDescent="0.25">
      <c r="B56" s="40" t="s">
        <v>66</v>
      </c>
      <c r="C56" s="24" t="s">
        <v>159</v>
      </c>
      <c r="D56" s="24" t="s">
        <v>89</v>
      </c>
      <c r="E56" s="24" t="s">
        <v>203</v>
      </c>
      <c r="F56" s="24">
        <v>1</v>
      </c>
      <c r="G56" s="24">
        <v>291560</v>
      </c>
      <c r="H56" s="50">
        <v>26601586</v>
      </c>
      <c r="I56" s="24" t="s">
        <v>30</v>
      </c>
      <c r="J56" s="24" t="s">
        <v>24</v>
      </c>
      <c r="K56" s="25" t="s">
        <v>204</v>
      </c>
      <c r="L56" s="24" t="s">
        <v>135</v>
      </c>
      <c r="M56" s="27" t="s">
        <v>205</v>
      </c>
      <c r="N56" s="24" t="s">
        <v>59</v>
      </c>
      <c r="O56" s="24"/>
      <c r="P56" s="24"/>
      <c r="Q56" s="41"/>
      <c r="R56" s="24"/>
    </row>
    <row r="57" spans="2:18" ht="105" hidden="1" x14ac:dyDescent="0.25">
      <c r="B57" s="40" t="s">
        <v>66</v>
      </c>
      <c r="C57" s="24" t="s">
        <v>159</v>
      </c>
      <c r="D57" s="26" t="s">
        <v>89</v>
      </c>
      <c r="E57" s="26" t="s">
        <v>206</v>
      </c>
      <c r="F57" s="26">
        <v>1</v>
      </c>
      <c r="G57" s="26">
        <v>291358</v>
      </c>
      <c r="H57" s="51">
        <v>26601582</v>
      </c>
      <c r="I57" s="26" t="s">
        <v>30</v>
      </c>
      <c r="J57" s="26" t="s">
        <v>207</v>
      </c>
      <c r="K57" s="27" t="s">
        <v>208</v>
      </c>
      <c r="L57" s="26" t="s">
        <v>135</v>
      </c>
      <c r="M57" s="25" t="s">
        <v>44</v>
      </c>
      <c r="N57" s="24" t="s">
        <v>59</v>
      </c>
      <c r="O57" s="26"/>
      <c r="P57" s="26"/>
      <c r="Q57" s="49"/>
      <c r="R57" s="26"/>
    </row>
  </sheetData>
  <phoneticPr fontId="1"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4C7DF-BFCD-4E2A-84AF-31A29E9667A4}">
  <sheetPr filterMode="1"/>
  <dimension ref="A1:P34"/>
  <sheetViews>
    <sheetView topLeftCell="A25" workbookViewId="0">
      <selection activeCell="C39" sqref="C39"/>
    </sheetView>
  </sheetViews>
  <sheetFormatPr defaultRowHeight="15" x14ac:dyDescent="0.25"/>
  <cols>
    <col min="1" max="1" width="22.5703125" bestFit="1" customWidth="1"/>
    <col min="2" max="2" width="22.5703125" customWidth="1"/>
    <col min="3" max="3" width="15.7109375" style="1" bestFit="1" customWidth="1"/>
    <col min="4" max="4" width="15.42578125" style="1" customWidth="1"/>
    <col min="5" max="5" width="15.42578125" style="1" hidden="1" customWidth="1"/>
    <col min="6" max="6" width="12.7109375" style="1" hidden="1" customWidth="1"/>
    <col min="7" max="7" width="25.5703125" bestFit="1" customWidth="1"/>
    <col min="11" max="11" width="17.28515625" customWidth="1"/>
    <col min="12" max="12" width="20.140625" customWidth="1"/>
    <col min="13" max="14" width="13.28515625" customWidth="1"/>
    <col min="15" max="15" width="25.5703125" bestFit="1" customWidth="1"/>
  </cols>
  <sheetData>
    <row r="1" spans="1:16" ht="45" x14ac:dyDescent="0.25">
      <c r="A1" s="1" t="s">
        <v>209</v>
      </c>
    </row>
    <row r="2" spans="1:16" x14ac:dyDescent="0.25">
      <c r="A2" s="65" t="s">
        <v>17</v>
      </c>
      <c r="B2" s="66"/>
      <c r="C2" s="66"/>
      <c r="D2" s="66"/>
      <c r="E2" s="66"/>
      <c r="F2" s="66"/>
      <c r="J2" s="67" t="s">
        <v>66</v>
      </c>
      <c r="K2" s="68"/>
    </row>
    <row r="3" spans="1:16" ht="45" x14ac:dyDescent="0.25">
      <c r="A3" s="2" t="s">
        <v>210</v>
      </c>
      <c r="B3" s="2" t="s">
        <v>211</v>
      </c>
      <c r="C3" s="3" t="s">
        <v>212</v>
      </c>
      <c r="D3" s="3" t="s">
        <v>213</v>
      </c>
      <c r="E3" s="3" t="s">
        <v>214</v>
      </c>
      <c r="F3" s="3" t="s">
        <v>215</v>
      </c>
      <c r="J3" s="17" t="s">
        <v>210</v>
      </c>
      <c r="K3" s="17" t="s">
        <v>211</v>
      </c>
      <c r="L3" s="3" t="s">
        <v>212</v>
      </c>
      <c r="M3" s="3" t="s">
        <v>213</v>
      </c>
      <c r="N3" s="3"/>
      <c r="O3" s="3" t="s">
        <v>215</v>
      </c>
    </row>
    <row r="4" spans="1:16" ht="30" x14ac:dyDescent="0.25">
      <c r="A4" s="4" t="s">
        <v>216</v>
      </c>
      <c r="B4" s="4" t="s">
        <v>217</v>
      </c>
      <c r="C4" s="9">
        <v>1</v>
      </c>
      <c r="D4" s="3"/>
      <c r="E4" s="3"/>
      <c r="F4" s="3" t="s">
        <v>218</v>
      </c>
      <c r="J4" s="18">
        <v>281710</v>
      </c>
      <c r="K4" s="18" t="s">
        <v>219</v>
      </c>
      <c r="L4" s="3"/>
      <c r="M4" s="3">
        <v>1</v>
      </c>
      <c r="N4" s="3"/>
      <c r="O4" s="3"/>
    </row>
    <row r="5" spans="1:16" ht="30" hidden="1" x14ac:dyDescent="0.25">
      <c r="A5" s="5" t="s">
        <v>220</v>
      </c>
      <c r="B5" s="5"/>
      <c r="C5" s="6"/>
      <c r="D5" s="6"/>
      <c r="E5" s="8">
        <v>1</v>
      </c>
      <c r="F5" s="6"/>
      <c r="J5" s="17">
        <v>270681</v>
      </c>
      <c r="K5" s="18" t="s">
        <v>221</v>
      </c>
      <c r="L5" s="3"/>
      <c r="M5" s="3">
        <v>1</v>
      </c>
      <c r="N5" s="3" t="s">
        <v>222</v>
      </c>
      <c r="O5" s="3" t="s">
        <v>223</v>
      </c>
    </row>
    <row r="6" spans="1:16" x14ac:dyDescent="0.25">
      <c r="A6" s="4" t="s">
        <v>224</v>
      </c>
      <c r="B6" s="4" t="s">
        <v>225</v>
      </c>
      <c r="C6" s="3">
        <v>1</v>
      </c>
      <c r="D6" s="3"/>
      <c r="E6" s="7">
        <v>1</v>
      </c>
      <c r="F6" s="3"/>
      <c r="G6" s="10" t="s">
        <v>226</v>
      </c>
      <c r="J6" s="17">
        <v>272829</v>
      </c>
      <c r="K6" s="18" t="s">
        <v>227</v>
      </c>
      <c r="L6" s="3"/>
      <c r="M6" s="3">
        <v>1</v>
      </c>
      <c r="N6" s="3"/>
      <c r="O6" s="3"/>
    </row>
    <row r="7" spans="1:16" x14ac:dyDescent="0.25">
      <c r="A7" s="4" t="s">
        <v>228</v>
      </c>
      <c r="B7" s="4" t="s">
        <v>229</v>
      </c>
      <c r="C7" s="3">
        <v>1</v>
      </c>
      <c r="D7" s="3"/>
      <c r="E7" s="7">
        <v>1</v>
      </c>
      <c r="F7" s="3"/>
      <c r="G7" s="11" t="s">
        <v>230</v>
      </c>
    </row>
    <row r="8" spans="1:16" x14ac:dyDescent="0.25">
      <c r="A8" s="4" t="s">
        <v>231</v>
      </c>
      <c r="B8" s="4" t="s">
        <v>232</v>
      </c>
      <c r="C8" s="3">
        <v>1</v>
      </c>
      <c r="D8" s="3"/>
      <c r="E8" s="7">
        <v>1</v>
      </c>
      <c r="F8" s="3"/>
      <c r="G8" s="12" t="s">
        <v>233</v>
      </c>
    </row>
    <row r="9" spans="1:16" x14ac:dyDescent="0.25">
      <c r="A9" s="21" t="s">
        <v>234</v>
      </c>
      <c r="B9" s="4" t="s">
        <v>235</v>
      </c>
      <c r="C9" s="3">
        <v>1</v>
      </c>
      <c r="D9" s="3"/>
      <c r="E9" s="7">
        <v>1</v>
      </c>
      <c r="F9" s="3"/>
      <c r="G9" s="14" t="s">
        <v>236</v>
      </c>
      <c r="L9">
        <f>SUM(L4:L6)</f>
        <v>0</v>
      </c>
      <c r="M9">
        <f>SUM(M4:M6)</f>
        <v>3</v>
      </c>
      <c r="N9">
        <v>1</v>
      </c>
    </row>
    <row r="10" spans="1:16" hidden="1" x14ac:dyDescent="0.25">
      <c r="A10" s="5" t="s">
        <v>237</v>
      </c>
      <c r="B10" s="5"/>
      <c r="C10" s="6"/>
      <c r="D10" s="6"/>
      <c r="E10" s="6"/>
      <c r="F10" s="6"/>
      <c r="O10" t="s">
        <v>238</v>
      </c>
      <c r="P10">
        <f>SUM(L9:N9)</f>
        <v>4</v>
      </c>
    </row>
    <row r="11" spans="1:16" hidden="1" x14ac:dyDescent="0.25">
      <c r="A11" s="4" t="s">
        <v>239</v>
      </c>
      <c r="B11" s="4" t="s">
        <v>240</v>
      </c>
      <c r="C11" s="3"/>
      <c r="D11" s="9">
        <v>1</v>
      </c>
      <c r="E11" s="3"/>
      <c r="F11" s="3"/>
    </row>
    <row r="12" spans="1:16" hidden="1" x14ac:dyDescent="0.25">
      <c r="A12" s="5" t="s">
        <v>241</v>
      </c>
      <c r="B12" s="5"/>
      <c r="C12" s="6"/>
      <c r="D12" s="6"/>
      <c r="E12" s="8">
        <v>1</v>
      </c>
      <c r="F12" s="6"/>
    </row>
    <row r="13" spans="1:16" hidden="1" x14ac:dyDescent="0.25">
      <c r="A13" s="5" t="s">
        <v>242</v>
      </c>
      <c r="B13" s="5"/>
      <c r="C13" s="6"/>
      <c r="D13" s="6"/>
      <c r="E13" s="6"/>
      <c r="F13" s="6"/>
    </row>
    <row r="14" spans="1:16" hidden="1" x14ac:dyDescent="0.25">
      <c r="A14" s="4" t="s">
        <v>243</v>
      </c>
      <c r="B14" s="4" t="s">
        <v>229</v>
      </c>
      <c r="C14" s="3"/>
      <c r="D14" s="3"/>
      <c r="E14" s="3"/>
      <c r="F14" s="3"/>
    </row>
    <row r="15" spans="1:16" x14ac:dyDescent="0.25">
      <c r="A15" s="2" t="s">
        <v>244</v>
      </c>
      <c r="B15" s="4" t="s">
        <v>245</v>
      </c>
      <c r="C15" s="3">
        <v>1</v>
      </c>
      <c r="D15" s="3"/>
      <c r="E15" s="7">
        <v>1</v>
      </c>
      <c r="F15" s="3" t="s">
        <v>246</v>
      </c>
      <c r="K15" s="15"/>
      <c r="L15" s="15"/>
      <c r="M15" s="69"/>
      <c r="N15" s="69"/>
    </row>
    <row r="16" spans="1:16" hidden="1" x14ac:dyDescent="0.25">
      <c r="A16" s="2" t="s">
        <v>247</v>
      </c>
      <c r="B16" s="4"/>
      <c r="C16" s="3"/>
      <c r="D16" s="3"/>
      <c r="E16" s="7">
        <v>1</v>
      </c>
      <c r="F16" s="3" t="s">
        <v>246</v>
      </c>
      <c r="K16" s="15" t="s">
        <v>248</v>
      </c>
      <c r="L16" s="15" t="s">
        <v>249</v>
      </c>
    </row>
    <row r="17" spans="1:8" hidden="1" x14ac:dyDescent="0.25">
      <c r="A17" s="2" t="s">
        <v>250</v>
      </c>
      <c r="B17" s="4"/>
      <c r="C17" s="3"/>
      <c r="D17" s="3"/>
      <c r="E17" s="7">
        <v>1</v>
      </c>
      <c r="F17" s="3" t="s">
        <v>246</v>
      </c>
    </row>
    <row r="18" spans="1:8" x14ac:dyDescent="0.25">
      <c r="A18" s="2"/>
      <c r="B18" s="4" t="s">
        <v>251</v>
      </c>
      <c r="C18" s="13">
        <v>1</v>
      </c>
      <c r="D18" s="3"/>
      <c r="E18" s="3"/>
      <c r="F18" s="3"/>
    </row>
    <row r="19" spans="1:8" x14ac:dyDescent="0.25">
      <c r="A19" s="2" t="s">
        <v>252</v>
      </c>
      <c r="B19" s="16" t="s">
        <v>253</v>
      </c>
      <c r="C19" s="13">
        <v>1</v>
      </c>
      <c r="D19" s="3"/>
      <c r="E19" s="3"/>
      <c r="F19" s="3"/>
    </row>
    <row r="20" spans="1:8" x14ac:dyDescent="0.25">
      <c r="A20" s="2"/>
      <c r="B20" s="4" t="s">
        <v>254</v>
      </c>
      <c r="C20" s="13">
        <v>1</v>
      </c>
      <c r="D20" s="3"/>
      <c r="E20" s="3"/>
      <c r="F20" s="3"/>
    </row>
    <row r="21" spans="1:8" x14ac:dyDescent="0.25">
      <c r="A21" s="2" t="s">
        <v>255</v>
      </c>
      <c r="B21" s="4" t="s">
        <v>256</v>
      </c>
      <c r="C21" s="13">
        <v>1</v>
      </c>
      <c r="D21" s="3"/>
      <c r="E21" s="3"/>
      <c r="F21" s="3"/>
    </row>
    <row r="22" spans="1:8" x14ac:dyDescent="0.25">
      <c r="B22" s="16"/>
      <c r="C22" s="1">
        <f>SUM(C4:C21)</f>
        <v>10</v>
      </c>
      <c r="D22" s="1">
        <f>SUM(D4:D21)</f>
        <v>1</v>
      </c>
      <c r="E22" s="1">
        <f>SUM(E4:E21)</f>
        <v>9</v>
      </c>
    </row>
    <row r="23" spans="1:8" x14ac:dyDescent="0.25">
      <c r="G23" t="s">
        <v>238</v>
      </c>
      <c r="H23">
        <f>SUM(C22:D22)</f>
        <v>11</v>
      </c>
    </row>
    <row r="26" spans="1:8" x14ac:dyDescent="0.25">
      <c r="A26">
        <v>283206</v>
      </c>
      <c r="B26" s="22" t="s">
        <v>257</v>
      </c>
    </row>
    <row r="27" spans="1:8" x14ac:dyDescent="0.25">
      <c r="A27">
        <v>233661</v>
      </c>
      <c r="B27" s="22" t="s">
        <v>257</v>
      </c>
    </row>
    <row r="28" spans="1:8" x14ac:dyDescent="0.25">
      <c r="A28">
        <v>215130</v>
      </c>
      <c r="B28" t="s">
        <v>258</v>
      </c>
    </row>
    <row r="29" spans="1:8" x14ac:dyDescent="0.25">
      <c r="A29">
        <v>286956</v>
      </c>
      <c r="B29" t="s">
        <v>258</v>
      </c>
    </row>
    <row r="30" spans="1:8" x14ac:dyDescent="0.25">
      <c r="A30">
        <v>233787</v>
      </c>
      <c r="B30" t="s">
        <v>257</v>
      </c>
    </row>
    <row r="33" spans="1:4" x14ac:dyDescent="0.25">
      <c r="A33">
        <v>230150</v>
      </c>
      <c r="B33" t="s">
        <v>259</v>
      </c>
    </row>
    <row r="34" spans="1:4" x14ac:dyDescent="0.25">
      <c r="A34">
        <v>230540</v>
      </c>
      <c r="B34" t="s">
        <v>259</v>
      </c>
      <c r="C34" s="1" t="s">
        <v>260</v>
      </c>
      <c r="D34" s="1" t="s">
        <v>261</v>
      </c>
    </row>
  </sheetData>
  <autoFilter ref="A3:D23" xr:uid="{E504C7DF-BFCD-4E2A-84AF-31A29E9667A4}">
    <filterColumn colId="2">
      <filters>
        <filter val="1"/>
      </filters>
    </filterColumn>
  </autoFilter>
  <mergeCells count="3">
    <mergeCell ref="A2:F2"/>
    <mergeCell ref="J2:K2"/>
    <mergeCell ref="M15:N15"/>
  </mergeCells>
  <phoneticPr fontId="1" type="noConversion"/>
  <pageMargins left="0.7" right="0.7" top="0.75" bottom="0.75" header="0.3" footer="0.3"/>
</worksheet>
</file>

<file path=docMetadata/LabelInfo.xml><?xml version="1.0" encoding="utf-8"?>
<clbl:labelList xmlns:clbl="http://schemas.microsoft.com/office/2020/mipLabelMetadata">
  <clbl:label id="{725ca717-11da-4935-b601-f527b9741f2e}" enabled="1" method="Privileged" siteId="{d852d5cd-724c-4128-8812-ffa5db3f850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Engines DEP KEP</vt:lpstr>
      <vt:lpstr>RDM ESTATUS 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MARIA FERNANDA JOSEFINA GONZALEZ SALMON</dc:creator>
  <cp:keywords/>
  <dc:description/>
  <cp:lastModifiedBy>MARIA FERNANDA JOSEFINA GONZALEZ SALMON</cp:lastModifiedBy>
  <cp:revision/>
  <dcterms:created xsi:type="dcterms:W3CDTF">2026-06-06T20:02:47Z</dcterms:created>
  <dcterms:modified xsi:type="dcterms:W3CDTF">2026-07-30T02:21:01Z</dcterms:modified>
  <cp:category/>
  <cp:contentStatus/>
</cp:coreProperties>
</file>