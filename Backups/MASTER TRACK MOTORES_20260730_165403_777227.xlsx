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3880" yWindow="-120" windowWidth="24240" windowHeight="13140" tabRatio="600" firstSheet="0" activeTab="0" autoFilterDateGrouping="1"/>
  </bookViews>
  <sheets>
    <sheet name="Engines DEP KEP" sheetId="1" state="visible" r:id="rId1"/>
    <sheet name="RDM ESTATUS I" sheetId="2" state="visible" r:id="rId2"/>
  </sheets>
  <definedNames>
    <definedName name="_xlnm._FilterDatabase" localSheetId="1" hidden="1">'RDM ESTATUS I'!$A$3:$D$23</definedName>
  </definedNames>
  <calcPr calcId="191028" fullCalcOnLoad="1"/>
</workbook>
</file>

<file path=xl/styles.xml><?xml version="1.0" encoding="utf-8"?>
<styleSheet xmlns="http://schemas.openxmlformats.org/spreadsheetml/2006/main">
  <numFmts count="0"/>
  <fonts count="11">
    <font>
      <name val="Aptos Narrow"/>
      <family val="2"/>
      <color theme="1"/>
      <sz val="11"/>
      <scheme val="minor"/>
    </font>
    <font>
      <name val="Aptos Narrow"/>
      <family val="2"/>
      <sz val="8"/>
      <scheme val="minor"/>
    </font>
    <font>
      <name val="Aptos Narrow"/>
      <family val="2"/>
      <color indexed="8"/>
      <sz val="11"/>
      <scheme val="minor"/>
    </font>
    <font>
      <name val="Aptos Narrow"/>
      <strike val="1"/>
      <color rgb="FF000000"/>
      <sz val="11"/>
      <scheme val="minor"/>
    </font>
    <font>
      <name val="Aptos Narrow"/>
      <color rgb="FF000000"/>
      <sz val="11"/>
      <scheme val="minor"/>
    </font>
    <font>
      <name val="Aptos Narrow"/>
      <family val="2"/>
      <strike val="1"/>
      <color theme="1"/>
      <sz val="11"/>
      <scheme val="minor"/>
    </font>
    <font>
      <name val="Aptos Narrow"/>
      <charset val="1"/>
      <b val="1"/>
      <color rgb="FF000000"/>
      <sz val="11"/>
    </font>
    <font>
      <name val="Aptos Narrow"/>
      <family val="2"/>
      <b val="1"/>
      <color theme="1"/>
      <sz val="11"/>
      <scheme val="minor"/>
    </font>
    <font>
      <name val="Calibri"/>
      <charset val="1"/>
      <color rgb="FF000000"/>
      <sz val="11"/>
    </font>
    <font>
      <name val="Aptos Narrow"/>
      <charset val="1"/>
      <color rgb="FF242424"/>
      <sz val="11"/>
    </font>
    <font>
      <name val="Aptos Narrow"/>
      <family val="2"/>
      <color theme="1"/>
      <sz val="11"/>
      <scheme val="minor"/>
    </font>
  </fonts>
  <fills count="12">
    <fill>
      <patternFill/>
    </fill>
    <fill>
      <patternFill patternType="gray125"/>
    </fill>
    <fill>
      <patternFill patternType="solid">
        <fgColor rgb="FFFFC000"/>
        <bgColor indexed="64"/>
      </patternFill>
    </fill>
    <fill>
      <patternFill patternType="solid">
        <fgColor rgb="FF7030A0"/>
        <bgColor indexed="64"/>
      </patternFill>
    </fill>
    <fill>
      <patternFill patternType="solid">
        <fgColor rgb="FFFF0000"/>
        <bgColor indexed="64"/>
      </patternFill>
    </fill>
    <fill>
      <patternFill patternType="solid">
        <fgColor theme="7"/>
        <bgColor indexed="64"/>
      </patternFill>
    </fill>
    <fill>
      <patternFill patternType="solid">
        <fgColor rgb="FF00B0F0"/>
        <bgColor indexed="64"/>
      </patternFill>
    </fill>
    <fill>
      <patternFill patternType="solid">
        <fgColor theme="9"/>
        <bgColor indexed="64"/>
      </patternFill>
    </fill>
    <fill>
      <patternFill patternType="solid">
        <fgColor rgb="FFFFFF00"/>
        <bgColor indexed="64"/>
      </patternFill>
    </fill>
    <fill>
      <patternFill patternType="solid">
        <fgColor theme="0"/>
        <bgColor indexed="64"/>
      </patternFill>
    </fill>
    <fill>
      <patternFill patternType="solid">
        <fgColor theme="5" tint="0.3999755851924192"/>
        <bgColor indexed="64"/>
      </patternFill>
    </fill>
    <fill>
      <patternFill patternType="solid">
        <fgColor theme="8" tint="0.5999938962981048"/>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auto="1"/>
      </left>
      <right style="thin">
        <color auto="1"/>
      </right>
      <top style="hair">
        <color auto="1"/>
      </top>
      <bottom style="hair">
        <color auto="1"/>
      </bottom>
      <diagonal/>
    </border>
    <border>
      <left/>
      <right/>
      <top style="thin">
        <color indexed="64"/>
      </top>
      <bottom/>
      <diagonal/>
    </border>
  </borders>
  <cellStyleXfs count="2">
    <xf numFmtId="0" fontId="10" fillId="0" borderId="0"/>
    <xf numFmtId="0" fontId="2" fillId="0" borderId="0"/>
  </cellStyleXfs>
  <cellXfs count="81">
    <xf numFmtId="0" fontId="0" fillId="0" borderId="0" pivotButton="0" quotePrefix="0" xfId="0"/>
    <xf numFmtId="0" fontId="0" fillId="0" borderId="0" applyAlignment="1" pivotButton="0" quotePrefix="0" xfId="0">
      <alignment wrapText="1"/>
    </xf>
    <xf numFmtId="0" fontId="0" fillId="0" borderId="1" pivotButton="0" quotePrefix="0" xfId="0"/>
    <xf numFmtId="0" fontId="0" fillId="0" borderId="1" applyAlignment="1" pivotButton="0" quotePrefix="0" xfId="0">
      <alignment wrapText="1"/>
    </xf>
    <xf numFmtId="0" fontId="0" fillId="0" borderId="1" applyAlignment="1" pivotButton="0" quotePrefix="0" xfId="0">
      <alignment horizontal="left" vertical="center" indent="1"/>
    </xf>
    <xf numFmtId="0" fontId="0" fillId="2" borderId="1" applyAlignment="1" pivotButton="0" quotePrefix="0" xfId="0">
      <alignment horizontal="left" vertical="center" indent="1"/>
    </xf>
    <xf numFmtId="0" fontId="0" fillId="2" borderId="1" applyAlignment="1" pivotButton="0" quotePrefix="0" xfId="0">
      <alignment wrapText="1"/>
    </xf>
    <xf numFmtId="0" fontId="0" fillId="3" borderId="1" applyAlignment="1" pivotButton="0" quotePrefix="0" xfId="0">
      <alignment wrapText="1"/>
    </xf>
    <xf numFmtId="0" fontId="0" fillId="4" borderId="1" applyAlignment="1" pivotButton="0" quotePrefix="0" xfId="0">
      <alignment wrapText="1"/>
    </xf>
    <xf numFmtId="0" fontId="0" fillId="5" borderId="1" applyAlignment="1" pivotButton="0" quotePrefix="0" xfId="0">
      <alignment wrapText="1"/>
    </xf>
    <xf numFmtId="0" fontId="0" fillId="3" borderId="0" pivotButton="0" quotePrefix="0" xfId="0"/>
    <xf numFmtId="0" fontId="0" fillId="6" borderId="0" pivotButton="0" quotePrefix="0" xfId="0"/>
    <xf numFmtId="0" fontId="0" fillId="4" borderId="0" pivotButton="0" quotePrefix="0" xfId="0"/>
    <xf numFmtId="0" fontId="0" fillId="7" borderId="1" applyAlignment="1" pivotButton="0" quotePrefix="0" xfId="0">
      <alignment wrapText="1"/>
    </xf>
    <xf numFmtId="0" fontId="0" fillId="7" borderId="0" pivotButton="0" quotePrefix="0" xfId="0"/>
    <xf numFmtId="0" fontId="0" fillId="0" borderId="0" applyAlignment="1" pivotButton="0" quotePrefix="0" xfId="0">
      <alignment vertical="center" wrapText="1"/>
    </xf>
    <xf numFmtId="0" fontId="0" fillId="0" borderId="7" applyAlignment="1" pivotButton="0" quotePrefix="0" xfId="0">
      <alignment horizontal="left" vertical="center" indent="1"/>
    </xf>
    <xf numFmtId="0" fontId="0" fillId="9" borderId="1" pivotButton="0" quotePrefix="0" xfId="0"/>
    <xf numFmtId="0" fontId="0" fillId="9" borderId="1" applyAlignment="1" pivotButton="0" quotePrefix="0" xfId="0">
      <alignment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4" borderId="1" applyAlignment="1" pivotButton="0" quotePrefix="0" xfId="0">
      <alignment horizontal="left" vertical="center" indent="1"/>
    </xf>
    <xf numFmtId="0" fontId="0" fillId="0" borderId="0" applyAlignment="1" pivotButton="0" quotePrefix="0" xfId="0">
      <alignment horizontal="left" vertical="center" indent="1"/>
    </xf>
    <xf numFmtId="0" fontId="0" fillId="0" borderId="0" applyAlignment="1" pivotButton="0" quotePrefix="0" xfId="0">
      <alignment horizontal="center" vertical="top"/>
    </xf>
    <xf numFmtId="0" fontId="0" fillId="0" borderId="1" applyAlignment="1" pivotButton="0" quotePrefix="0" xfId="0">
      <alignment horizontal="center" vertical="top"/>
    </xf>
    <xf numFmtId="0" fontId="0" fillId="0" borderId="1" applyAlignment="1" pivotButton="0" quotePrefix="0" xfId="0">
      <alignment horizontal="center" vertical="top" wrapText="1"/>
    </xf>
    <xf numFmtId="0" fontId="0" fillId="0" borderId="5" applyAlignment="1" pivotButton="0" quotePrefix="0" xfId="0">
      <alignment horizontal="center" vertical="top"/>
    </xf>
    <xf numFmtId="0" fontId="0" fillId="0" borderId="5" applyAlignment="1" pivotButton="0" quotePrefix="0" xfId="0">
      <alignment horizontal="center" vertical="top" wrapText="1"/>
    </xf>
    <xf numFmtId="0" fontId="0" fillId="4" borderId="1" applyAlignment="1" pivotButton="0" quotePrefix="0" xfId="0">
      <alignment horizontal="center" vertical="top"/>
    </xf>
    <xf numFmtId="0" fontId="0" fillId="10" borderId="1" applyAlignment="1" pivotButton="0" quotePrefix="0" xfId="0">
      <alignment horizontal="center" vertical="top"/>
    </xf>
    <xf numFmtId="0" fontId="0" fillId="10" borderId="1" applyAlignment="1" pivotButton="0" quotePrefix="0" xfId="0">
      <alignment horizontal="center" vertical="top" wrapText="1"/>
    </xf>
    <xf numFmtId="0" fontId="0" fillId="8" borderId="1" applyAlignment="1" pivotButton="0" quotePrefix="0" xfId="0">
      <alignment horizontal="center" vertical="top"/>
    </xf>
    <xf numFmtId="0" fontId="0" fillId="8" borderId="1" applyAlignment="1" pivotButton="0" quotePrefix="0" xfId="0">
      <alignment horizontal="center" vertical="top" wrapText="1"/>
    </xf>
    <xf numFmtId="0" fontId="0" fillId="0" borderId="0" applyAlignment="1" pivotButton="0" quotePrefix="0" xfId="0">
      <alignment horizontal="center" vertical="top" wrapText="1"/>
    </xf>
    <xf numFmtId="0" fontId="0" fillId="0" borderId="8" applyAlignment="1" pivotButton="0" quotePrefix="0" xfId="0">
      <alignment horizontal="center" vertical="center"/>
    </xf>
    <xf numFmtId="0" fontId="0" fillId="0" borderId="6" applyAlignment="1" pivotButton="0" quotePrefix="0" xfId="0">
      <alignment horizontal="center" vertical="center"/>
    </xf>
    <xf numFmtId="0" fontId="0" fillId="0" borderId="6"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4" applyAlignment="1" pivotButton="0" quotePrefix="0" xfId="0">
      <alignment horizontal="center" vertical="center"/>
    </xf>
    <xf numFmtId="0" fontId="0" fillId="0" borderId="2" applyAlignment="1" pivotButton="0" quotePrefix="0" xfId="0">
      <alignment horizontal="center" vertical="top" wrapText="1"/>
    </xf>
    <xf numFmtId="0" fontId="0" fillId="0" borderId="4" applyAlignment="1" pivotButton="0" quotePrefix="0" xfId="0">
      <alignment horizontal="center" vertical="top"/>
    </xf>
    <xf numFmtId="0" fontId="0" fillId="0" borderId="2" applyAlignment="1" pivotButton="0" quotePrefix="0" xfId="0">
      <alignment horizontal="center" vertical="top"/>
    </xf>
    <xf numFmtId="0" fontId="0" fillId="4" borderId="4" applyAlignment="1" pivotButton="0" quotePrefix="0" xfId="0">
      <alignment horizontal="center" vertical="top"/>
    </xf>
    <xf numFmtId="0" fontId="0" fillId="4" borderId="1" applyAlignment="1" pivotButton="0" quotePrefix="0" xfId="0">
      <alignment horizontal="center" vertical="top" wrapText="1"/>
    </xf>
    <xf numFmtId="0" fontId="0" fillId="4" borderId="2" applyAlignment="1" pivotButton="0" quotePrefix="0" xfId="0">
      <alignment horizontal="center" vertical="top"/>
    </xf>
    <xf numFmtId="0" fontId="0" fillId="10" borderId="4" applyAlignment="1" pivotButton="0" quotePrefix="0" xfId="0">
      <alignment horizontal="center" vertical="top"/>
    </xf>
    <xf numFmtId="0" fontId="0" fillId="10" borderId="2" applyAlignment="1" pivotButton="0" quotePrefix="0" xfId="0">
      <alignment horizontal="center" vertical="top" wrapText="1"/>
    </xf>
    <xf numFmtId="0" fontId="0" fillId="8" borderId="2" applyAlignment="1" pivotButton="0" quotePrefix="0" xfId="0">
      <alignment horizontal="center" vertical="top" wrapText="1"/>
    </xf>
    <xf numFmtId="0" fontId="0" fillId="0" borderId="10" applyAlignment="1" pivotButton="0" quotePrefix="0" xfId="0">
      <alignment horizontal="center" vertical="top"/>
    </xf>
    <xf numFmtId="0" fontId="0" fillId="0" borderId="11" applyAlignment="1" pivotButton="0" quotePrefix="0" xfId="0">
      <alignment horizontal="center" vertical="top"/>
    </xf>
    <xf numFmtId="0" fontId="2" fillId="0" borderId="1" applyAlignment="1" pivotButton="0" quotePrefix="0" xfId="1">
      <alignment horizontal="center" vertical="top"/>
    </xf>
    <xf numFmtId="0" fontId="2" fillId="0" borderId="5" applyAlignment="1" pivotButton="0" quotePrefix="0" xfId="1">
      <alignment horizontal="center" vertical="top"/>
    </xf>
    <xf numFmtId="0" fontId="0" fillId="0" borderId="6" applyAlignment="1" pivotButton="0" quotePrefix="0" xfId="0">
      <alignment horizontal="center" vertical="top"/>
    </xf>
    <xf numFmtId="0" fontId="3" fillId="0" borderId="1" applyAlignment="1" pivotButton="0" quotePrefix="0" xfId="0">
      <alignment horizontal="center" vertical="top" wrapText="1"/>
    </xf>
    <xf numFmtId="0" fontId="5" fillId="0" borderId="4" applyAlignment="1" pivotButton="0" quotePrefix="0" xfId="0">
      <alignment horizontal="center" vertical="top"/>
    </xf>
    <xf numFmtId="0" fontId="5" fillId="0" borderId="1" applyAlignment="1" pivotButton="0" quotePrefix="0" xfId="0">
      <alignment horizontal="center" vertical="top"/>
    </xf>
    <xf numFmtId="0" fontId="6" fillId="0" borderId="0" applyAlignment="1" pivotButton="0" quotePrefix="0" xfId="0">
      <alignment wrapText="1"/>
    </xf>
    <xf numFmtId="0" fontId="7" fillId="0" borderId="1" applyAlignment="1" pivotButton="0" quotePrefix="0" xfId="0">
      <alignment horizontal="center" vertical="top"/>
    </xf>
    <xf numFmtId="0" fontId="7" fillId="0" borderId="1" applyAlignment="1" pivotButton="0" quotePrefix="0" xfId="0">
      <alignment horizontal="center" vertical="top" wrapText="1"/>
    </xf>
    <xf numFmtId="0" fontId="5" fillId="8" borderId="4" applyAlignment="1" pivotButton="0" quotePrefix="0" xfId="0">
      <alignment horizontal="center" vertical="top"/>
    </xf>
    <xf numFmtId="0" fontId="5" fillId="8" borderId="1" applyAlignment="1" pivotButton="0" quotePrefix="0" xfId="0">
      <alignment horizontal="center" vertical="top"/>
    </xf>
    <xf numFmtId="0" fontId="8" fillId="0" borderId="0" pivotButton="0" quotePrefix="0" xfId="0"/>
    <xf numFmtId="0" fontId="9" fillId="0" borderId="0" pivotButton="0" quotePrefix="0" xfId="0"/>
    <xf numFmtId="0" fontId="10" fillId="0" borderId="12" applyAlignment="1" pivotButton="0" quotePrefix="0" xfId="0">
      <alignment vertical="center" wrapText="1"/>
    </xf>
    <xf numFmtId="0" fontId="8" fillId="0" borderId="0" applyAlignment="1" pivotButton="0" quotePrefix="0" xfId="0">
      <alignment wrapText="1"/>
    </xf>
    <xf numFmtId="0" fontId="0" fillId="0" borderId="2" applyAlignment="1" pivotButton="0" quotePrefix="0" xfId="0">
      <alignment horizontal="center"/>
    </xf>
    <xf numFmtId="0" fontId="0" fillId="0" borderId="3" applyAlignment="1" pivotButton="0" quotePrefix="0" xfId="0">
      <alignment horizontal="center"/>
    </xf>
    <xf numFmtId="0" fontId="0" fillId="9" borderId="2" applyAlignment="1" pivotButton="0" quotePrefix="0" xfId="0">
      <alignment horizontal="center"/>
    </xf>
    <xf numFmtId="0" fontId="0" fillId="9" borderId="4" applyAlignment="1" pivotButton="0" quotePrefix="0" xfId="0">
      <alignment horizontal="center"/>
    </xf>
    <xf numFmtId="0" fontId="0" fillId="0" borderId="0" applyAlignment="1" pivotButton="0" quotePrefix="0" xfId="0">
      <alignment vertical="center" wrapText="1"/>
    </xf>
    <xf numFmtId="0" fontId="0" fillId="11" borderId="0" applyAlignment="1" pivotButton="0" quotePrefix="0" xfId="0">
      <alignment horizontal="center" vertical="top"/>
    </xf>
    <xf numFmtId="0" fontId="10" fillId="0" borderId="0" pivotButton="0" quotePrefix="0" xfId="0"/>
    <xf numFmtId="0" fontId="10" fillId="0" borderId="4" applyAlignment="1" pivotButton="0" quotePrefix="0" xfId="0">
      <alignment horizontal="center" vertical="top"/>
    </xf>
    <xf numFmtId="0" fontId="10" fillId="0" borderId="1" applyAlignment="1" pivotButton="0" quotePrefix="0" xfId="0">
      <alignment horizontal="center" vertical="top"/>
    </xf>
    <xf numFmtId="0" fontId="10" fillId="0" borderId="5" applyAlignment="1" pivotButton="0" quotePrefix="0" xfId="0">
      <alignment horizontal="center" vertical="top"/>
    </xf>
    <xf numFmtId="0" fontId="10" fillId="0" borderId="5" applyAlignment="1" pivotButton="0" quotePrefix="0" xfId="0">
      <alignment horizontal="center" vertical="top" wrapText="1"/>
    </xf>
    <xf numFmtId="0" fontId="10" fillId="0" borderId="1" applyAlignment="1" pivotButton="0" quotePrefix="0" xfId="0">
      <alignment horizontal="center" vertical="top" wrapText="1"/>
    </xf>
    <xf numFmtId="0" fontId="10" fillId="0" borderId="11" applyAlignment="1" pivotButton="0" quotePrefix="0" xfId="0">
      <alignment horizontal="center" vertical="top"/>
    </xf>
    <xf numFmtId="0" fontId="0" fillId="0" borderId="3" pivotButton="0" quotePrefix="0" xfId="0"/>
    <xf numFmtId="0" fontId="0" fillId="9" borderId="1" applyAlignment="1" pivotButton="0" quotePrefix="0" xfId="0">
      <alignment horizontal="center"/>
    </xf>
    <xf numFmtId="0" fontId="0" fillId="0" borderId="4" pivotButton="0" quotePrefix="0" xfId="0"/>
  </cellXfs>
  <cellStyles count="2">
    <cellStyle name="Normal" xfId="0" builtinId="0"/>
    <cellStyle name="Normal 2" xfId="1"/>
  </cellStyles>
  <dxfs count="22">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alignment horizontal="center" vertical="top"/>
    </dxf>
    <dxf>
      <border>
        <bottom style="thin">
          <color indexed="64"/>
        </bottom>
      </border>
    </dxf>
    <dxf>
      <alignment horizontal="center" vertical="center"/>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1" displayName="Table1" ref="B1:R57" headerRowCount="1" totalsRowShown="0" headerRowDxfId="21" dataDxfId="19" headerRowBorderDxfId="20" tableBorderDxfId="18" totalsRowBorderDxfId="17">
  <autoFilter ref="B1:R57">
    <filterColumn colId="2" hiddenButton="0" showButton="1">
      <filters>
        <filter val="DEP"/>
      </filters>
    </filterColumn>
  </autoFilter>
  <tableColumns count="17">
    <tableColumn id="1" name="MODEL " dataDxfId="16"/>
    <tableColumn id="6" name="PN" dataDxfId="15"/>
    <tableColumn id="13" name="Supplier" dataDxfId="14"/>
    <tableColumn id="2" name="TRACEABILITY" dataDxfId="13"/>
    <tableColumn id="7" name="NO. MOTORS" dataDxfId="12"/>
    <tableColumn id="3" name="VIN" dataDxfId="11"/>
    <tableColumn id="4" name="NCT" dataDxfId="10"/>
    <tableColumn id="5" name="SDA/ RMA" dataDxfId="9"/>
    <tableColumn id="12" name="DTC" dataDxfId="8"/>
    <tableColumn id="11" name="ISSUE " dataDxfId="7"/>
    <tableColumn id="10" name="Location" dataDxfId="6"/>
    <tableColumn id="9" name="Comments" dataDxfId="5"/>
    <tableColumn id="8" name="Disposition" dataDxfId="4"/>
    <tableColumn id="20" name="ICA" dataDxfId="3"/>
    <tableColumn id="21" name="RCA" dataDxfId="2"/>
    <tableColumn id="22" name="PCA" dataDxfId="1"/>
    <tableColumn id="14" name="Comments2"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R60"/>
  <sheetViews>
    <sheetView tabSelected="1" zoomScale="85" zoomScaleNormal="85" workbookViewId="0">
      <pane ySplit="1" topLeftCell="A18" activePane="bottomLeft" state="frozen"/>
      <selection pane="bottomLeft" activeCell="A20" sqref="A20"/>
    </sheetView>
  </sheetViews>
  <sheetFormatPr baseColWidth="8" defaultColWidth="9.140625" defaultRowHeight="15"/>
  <cols>
    <col width="9.140625" customWidth="1" style="23" min="1" max="1"/>
    <col width="9.140625" customWidth="1" style="23" min="2" max="2"/>
    <col width="15.42578125" bestFit="1" customWidth="1" style="23" min="3" max="3"/>
    <col width="15.42578125" customWidth="1" style="23" min="4" max="4"/>
    <col width="22" bestFit="1" customWidth="1" style="23" min="5" max="5"/>
    <col width="17" customWidth="1" style="23" min="6" max="6"/>
    <col width="12.28515625" customWidth="1" style="23" min="7" max="7"/>
    <col width="14" customWidth="1" style="23" min="8" max="8"/>
    <col width="20.7109375" customWidth="1" style="23" min="9" max="9"/>
    <col width="34.28515625" bestFit="1" customWidth="1" style="23" min="10" max="10"/>
    <col width="49.5703125" bestFit="1" customWidth="1" style="33" min="11" max="11"/>
    <col width="17.28515625" bestFit="1" customWidth="1" style="23" min="12" max="12"/>
    <col width="47.85546875" bestFit="1" customWidth="1" style="33" min="13" max="13"/>
    <col width="13.85546875" bestFit="1" customWidth="1" style="23" min="14" max="14"/>
    <col width="62.28515625" customWidth="1" style="33" min="15" max="15"/>
    <col width="49.7109375" customWidth="1" style="33" min="16" max="16"/>
    <col width="43.42578125" customWidth="1" style="33" min="17" max="17"/>
    <col width="39" customWidth="1" style="23" min="18" max="18"/>
    <col width="9.140625" customWidth="1" style="23" min="19" max="16384"/>
  </cols>
  <sheetData>
    <row r="1">
      <c r="B1" s="34" t="inlineStr">
        <is>
          <t xml:space="preserve">MODEL </t>
        </is>
      </c>
      <c r="C1" s="35" t="inlineStr">
        <is>
          <t>PN</t>
        </is>
      </c>
      <c r="D1" s="35" t="inlineStr">
        <is>
          <t>Supplier</t>
        </is>
      </c>
      <c r="E1" s="35" t="inlineStr">
        <is>
          <t>TRACEABILITY</t>
        </is>
      </c>
      <c r="F1" s="35" t="inlineStr">
        <is>
          <t>NO. MOTORS</t>
        </is>
      </c>
      <c r="G1" s="35" t="inlineStr">
        <is>
          <t>VIN</t>
        </is>
      </c>
      <c r="H1" s="35" t="inlineStr">
        <is>
          <t>NCT</t>
        </is>
      </c>
      <c r="I1" s="35" t="inlineStr">
        <is>
          <t>SDA/ RMA</t>
        </is>
      </c>
      <c r="J1" s="35" t="inlineStr">
        <is>
          <t>DTC</t>
        </is>
      </c>
      <c r="K1" s="36" t="inlineStr">
        <is>
          <t xml:space="preserve">ISSUE </t>
        </is>
      </c>
      <c r="L1" s="35" t="inlineStr">
        <is>
          <t>Location</t>
        </is>
      </c>
      <c r="M1" s="36" t="inlineStr">
        <is>
          <t>Comments</t>
        </is>
      </c>
      <c r="N1" s="35" t="inlineStr">
        <is>
          <t>Disposition</t>
        </is>
      </c>
      <c r="O1" s="36" t="inlineStr">
        <is>
          <t>ICA</t>
        </is>
      </c>
      <c r="P1" s="36" t="inlineStr">
        <is>
          <t>RCA</t>
        </is>
      </c>
      <c r="Q1" s="37" t="inlineStr">
        <is>
          <t>PCA</t>
        </is>
      </c>
      <c r="R1" s="35" t="inlineStr">
        <is>
          <t>Comments2</t>
        </is>
      </c>
    </row>
    <row r="2" ht="45" customHeight="1">
      <c r="B2" s="38" t="inlineStr">
        <is>
          <t>KM</t>
        </is>
      </c>
      <c r="C2" s="24" t="inlineStr">
        <is>
          <t>68623468AE</t>
        </is>
      </c>
      <c r="D2" s="19" t="inlineStr">
        <is>
          <t>DEP</t>
        </is>
      </c>
      <c r="E2" s="19" t="inlineStr">
        <is>
          <t>/</t>
        </is>
      </c>
      <c r="F2" s="19" t="n">
        <v>3</v>
      </c>
      <c r="G2" s="19" t="inlineStr">
        <is>
          <t>FOUND BEFORE VIN</t>
        </is>
      </c>
      <c r="H2" s="19" t="inlineStr">
        <is>
          <t>GIM</t>
        </is>
      </c>
      <c r="I2" s="19" t="inlineStr">
        <is>
          <t>SDA: RLD20260726-01</t>
        </is>
      </c>
      <c r="J2" s="19" t="inlineStr">
        <is>
          <t>N/A</t>
        </is>
      </c>
      <c r="K2" s="20" t="inlineStr">
        <is>
          <t xml:space="preserve">Residual coolant dropping over the engine after DEP hot test causing corrosion inside the connectors </t>
        </is>
      </c>
      <c r="L2" s="19" t="inlineStr">
        <is>
          <t xml:space="preserve">REWORK </t>
        </is>
      </c>
      <c r="M2" s="20" t="inlineStr">
        <is>
          <t>Issue follow by PQE, DRE and DEP quality team</t>
        </is>
      </c>
      <c r="N2" s="19" t="inlineStr">
        <is>
          <t xml:space="preserve">REWORK </t>
        </is>
      </c>
      <c r="O2" s="25" t="inlineStr">
        <is>
          <t xml:space="preserve">DEP increase coolant evacuation time tio stract the resudual antifreeze from the engines, </t>
        </is>
      </c>
      <c r="P2" s="25" t="inlineStr">
        <is>
          <t xml:space="preserve">Engine desing does not allow to remove all coolant after hot test, engine needs to be tilt in order to take out all the liquid from the engine </t>
        </is>
      </c>
      <c r="Q2" s="39" t="n"/>
      <c r="R2" s="52" t="n"/>
    </row>
    <row r="3" ht="60" customHeight="1">
      <c r="B3" s="38" t="inlineStr">
        <is>
          <t>KM</t>
        </is>
      </c>
      <c r="C3" s="24" t="inlineStr">
        <is>
          <t>68623468AE</t>
        </is>
      </c>
      <c r="D3" s="19" t="inlineStr">
        <is>
          <t>DEP</t>
        </is>
      </c>
      <c r="E3" s="19" t="inlineStr">
        <is>
          <t>/</t>
        </is>
      </c>
      <c r="F3" s="19" t="n">
        <v>5</v>
      </c>
      <c r="G3" s="19" t="n">
        <v>282935</v>
      </c>
      <c r="H3" s="19" t="inlineStr">
        <is>
          <t>PENDING</t>
        </is>
      </c>
      <c r="I3" s="19" t="inlineStr">
        <is>
          <t>SDA: RLD20260726-02</t>
        </is>
      </c>
      <c r="J3" s="19" t="inlineStr">
        <is>
          <t>N/A</t>
        </is>
      </c>
      <c r="K3" s="20" t="inlineStr">
        <is>
          <t xml:space="preserve"> AC Compressor connector Idamaged</t>
        </is>
      </c>
      <c r="L3" s="19" t="inlineStr">
        <is>
          <t xml:space="preserve">REWORK </t>
        </is>
      </c>
      <c r="M3" s="20" t="inlineStr">
        <is>
          <t>Quality team to propose a new tape location for proposal 
DEP Supplier to implement the change on the tape location</t>
        </is>
      </c>
      <c r="N3" s="19" t="inlineStr">
        <is>
          <t xml:space="preserve">REWORK </t>
        </is>
      </c>
      <c r="O3" s="25" t="inlineStr">
        <is>
          <t>PER as successful, we didn’t identify a risk of damage and the hanking keeps without a problem until connection point</t>
        </is>
      </c>
      <c r="P3" s="25" t="n"/>
      <c r="Q3" s="39" t="n"/>
      <c r="R3" s="24" t="n"/>
    </row>
    <row r="4" ht="30" customHeight="1">
      <c r="B4" s="38" t="inlineStr">
        <is>
          <t>KM</t>
        </is>
      </c>
      <c r="C4" s="24" t="inlineStr">
        <is>
          <t>68623468AE</t>
        </is>
      </c>
      <c r="D4" s="19" t="inlineStr">
        <is>
          <t>DEP</t>
        </is>
      </c>
      <c r="E4" s="19" t="inlineStr">
        <is>
          <t>TIAP1134610582</t>
        </is>
      </c>
      <c r="F4" s="19" t="n">
        <v>2</v>
      </c>
      <c r="G4" s="19" t="inlineStr">
        <is>
          <t>TT245950</t>
        </is>
      </c>
      <c r="H4" s="19" t="inlineStr">
        <is>
          <t>PENDING</t>
        </is>
      </c>
      <c r="I4" s="19" t="inlineStr">
        <is>
          <t>SDA: RLD20260726-03</t>
        </is>
      </c>
      <c r="J4" s="19" t="n"/>
      <c r="K4" s="20" t="inlineStr">
        <is>
          <t>68623468AE &amp; traceability: TIAP1134610582) with hose (PN: 68619926AB) fully disconnected.EVAP system</t>
        </is>
      </c>
      <c r="L4" s="19" t="inlineStr">
        <is>
          <t xml:space="preserve">REWORK </t>
        </is>
      </c>
      <c r="M4" s="20" t="inlineStr">
        <is>
          <t xml:space="preserve">Issue  detected during inspection at TAP  after warranty report </t>
        </is>
      </c>
      <c r="N4" s="19" t="n"/>
      <c r="O4" s="25" t="n"/>
      <c r="P4" s="25" t="n"/>
      <c r="Q4" s="39" t="n"/>
      <c r="R4" s="24" t="n"/>
    </row>
    <row r="5">
      <c r="B5" s="40" t="inlineStr">
        <is>
          <t xml:space="preserve">KM </t>
        </is>
      </c>
      <c r="C5" s="24" t="inlineStr">
        <is>
          <t>68623468AE</t>
        </is>
      </c>
      <c r="D5" s="24" t="inlineStr">
        <is>
          <t>DEP</t>
        </is>
      </c>
      <c r="E5" s="24" t="n"/>
      <c r="F5" s="24" t="n">
        <v>1</v>
      </c>
      <c r="G5" s="24" t="n">
        <v>248801</v>
      </c>
      <c r="H5" s="24" t="n">
        <v>26600911</v>
      </c>
      <c r="I5" s="24" t="inlineStr">
        <is>
          <t>RMA: RLD20260726-04</t>
        </is>
      </c>
      <c r="J5" s="25" t="inlineStr">
        <is>
          <t>N/A</t>
        </is>
      </c>
      <c r="K5" s="25" t="inlineStr">
        <is>
          <t>LOW OIL LEVEL</t>
        </is>
      </c>
      <c r="L5" s="24" t="inlineStr">
        <is>
          <t xml:space="preserve">QUARENTINE </t>
        </is>
      </c>
      <c r="M5" s="25" t="inlineStr">
        <is>
          <t>Issue reviewed by ST Team</t>
        </is>
      </c>
      <c r="N5" s="24" t="inlineStr">
        <is>
          <t xml:space="preserve">RETURN </t>
        </is>
      </c>
      <c r="O5" s="25" t="n"/>
      <c r="P5" s="25" t="n"/>
      <c r="Q5" s="39" t="n"/>
      <c r="R5" s="24" t="n"/>
    </row>
    <row r="6" ht="75" customHeight="1">
      <c r="B6" s="40" t="inlineStr">
        <is>
          <t xml:space="preserve">KM </t>
        </is>
      </c>
      <c r="C6" s="24" t="inlineStr">
        <is>
          <t>68623468AE</t>
        </is>
      </c>
      <c r="D6" s="24" t="inlineStr">
        <is>
          <t>DEP</t>
        </is>
      </c>
      <c r="E6" s="24" t="inlineStr">
        <is>
          <t>TIAP1298510021</t>
        </is>
      </c>
      <c r="F6" s="24" t="n">
        <v>1</v>
      </c>
      <c r="G6" s="24" t="n"/>
      <c r="H6" s="24" t="n">
        <v>26600910</v>
      </c>
      <c r="I6" s="24" t="inlineStr">
        <is>
          <t>RLD20260521-02</t>
        </is>
      </c>
      <c r="J6" s="25" t="inlineStr">
        <is>
          <t>N/A</t>
        </is>
      </c>
      <c r="K6" s="25" t="inlineStr">
        <is>
          <t>KM ENGINE ASSY -1.6L AUTO TRANS GAS, on 05/21/2026, at dress engine station, was 
found by the team member with a crack at the PTU module mounting bore 
for TIAP1298510021.</t>
        </is>
      </c>
      <c r="L6" s="24" t="n"/>
      <c r="M6" s="25" t="inlineStr">
        <is>
          <t>Issue reviewed by ST Team</t>
        </is>
      </c>
      <c r="N6" s="24" t="inlineStr">
        <is>
          <t xml:space="preserve">RETURN </t>
        </is>
      </c>
      <c r="O6" s="24" t="n"/>
      <c r="P6" s="24" t="n"/>
      <c r="Q6" s="41" t="n"/>
      <c r="R6" s="24" t="n"/>
    </row>
    <row r="7" ht="45" customHeight="1">
      <c r="B7" s="40" t="inlineStr">
        <is>
          <t xml:space="preserve">KM </t>
        </is>
      </c>
      <c r="C7" s="24" t="inlineStr">
        <is>
          <t>68623468AE</t>
        </is>
      </c>
      <c r="D7" s="24" t="inlineStr">
        <is>
          <t>DEP</t>
        </is>
      </c>
      <c r="E7" s="24" t="inlineStr">
        <is>
          <t>TIAP1111610050</t>
        </is>
      </c>
      <c r="F7" s="24" t="n">
        <v>1</v>
      </c>
      <c r="G7" s="24" t="n">
        <v>157360</v>
      </c>
      <c r="H7" s="24" t="n">
        <v>26600952</v>
      </c>
      <c r="I7" s="24" t="inlineStr">
        <is>
          <t>SDA: RLD20260726-05</t>
        </is>
      </c>
      <c r="J7" s="25" t="inlineStr">
        <is>
          <t>N/A</t>
        </is>
      </c>
      <c r="K7" s="25" t="inlineStr">
        <is>
          <t>KM:DISCONNECT IN THE INLET AND OUTLET HOSE, FROM THE TURBO SYSTEM TO
THE THERMOSTAT.</t>
        </is>
      </c>
      <c r="L7" s="24" t="inlineStr">
        <is>
          <t xml:space="preserve">REWORK </t>
        </is>
      </c>
      <c r="M7" s="25" t="inlineStr">
        <is>
          <t>Issue reviewed by ST Team</t>
        </is>
      </c>
      <c r="N7" s="24" t="inlineStr">
        <is>
          <t xml:space="preserve">REWORK </t>
        </is>
      </c>
      <c r="O7" s="24" t="n"/>
      <c r="P7" s="24" t="n"/>
      <c r="Q7" s="41" t="n"/>
      <c r="R7" s="24" t="n"/>
    </row>
    <row r="8" ht="30" customHeight="1">
      <c r="B8" s="40" t="inlineStr">
        <is>
          <t xml:space="preserve">KM </t>
        </is>
      </c>
      <c r="C8" s="24" t="inlineStr">
        <is>
          <t>68623468AE</t>
        </is>
      </c>
      <c r="D8" s="24" t="inlineStr">
        <is>
          <t>DEP</t>
        </is>
      </c>
      <c r="E8" s="25" t="inlineStr">
        <is>
          <t xml:space="preserve">TIAP1114610469
TIAP1114610813 </t>
        </is>
      </c>
      <c r="F8" s="24" t="n">
        <v>2</v>
      </c>
      <c r="G8" s="24" t="inlineStr">
        <is>
          <t>FOUND BEFORE VIN</t>
        </is>
      </c>
      <c r="H8" s="24" t="n">
        <v>26601028</v>
      </c>
      <c r="I8" s="24" t="inlineStr">
        <is>
          <t>RLD20260605-01</t>
        </is>
      </c>
      <c r="J8" s="25" t="inlineStr">
        <is>
          <t>N/A</t>
        </is>
      </c>
      <c r="K8" s="25" t="inlineStr">
        <is>
          <t>KM ENGINE ALIGNMENT BUSHING WITH EXTRA SCREW</t>
        </is>
      </c>
      <c r="L8" s="24" t="n"/>
      <c r="M8" s="25" t="inlineStr">
        <is>
          <t>Issue reviewed by ST Team</t>
        </is>
      </c>
      <c r="N8" s="24" t="n"/>
      <c r="O8" s="24" t="n"/>
      <c r="P8" s="24" t="n"/>
      <c r="Q8" s="41" t="n"/>
      <c r="R8" s="24" t="n"/>
    </row>
    <row r="9" ht="30" customHeight="1">
      <c r="B9" s="40" t="inlineStr">
        <is>
          <t xml:space="preserve">KM </t>
        </is>
      </c>
      <c r="C9" s="24" t="inlineStr">
        <is>
          <t>68623468AE</t>
        </is>
      </c>
      <c r="D9" s="24" t="inlineStr">
        <is>
          <t>DEP</t>
        </is>
      </c>
      <c r="E9" s="24" t="inlineStr">
        <is>
          <t>TIAP1118610449</t>
        </is>
      </c>
      <c r="F9" s="24" t="n">
        <v>1</v>
      </c>
      <c r="G9" s="24" t="inlineStr">
        <is>
          <t>/</t>
        </is>
      </c>
      <c r="H9" s="24" t="n">
        <v>26601030</v>
      </c>
      <c r="I9" s="25" t="inlineStr">
        <is>
          <t xml:space="preserve"> RMA/ SDA: RLD20260726-17</t>
        </is>
      </c>
      <c r="J9" s="25" t="inlineStr">
        <is>
          <t>N/A</t>
        </is>
      </c>
      <c r="K9" s="25" t="inlineStr">
        <is>
          <t>WITH OIL LEAK AND A/C GAS LEAK</t>
        </is>
      </c>
      <c r="L9" s="24" t="inlineStr">
        <is>
          <t>???</t>
        </is>
      </c>
      <c r="M9" s="25" t="inlineStr">
        <is>
          <t>Issue reviewed by ST Team</t>
        </is>
      </c>
      <c r="N9" s="24" t="inlineStr">
        <is>
          <t>RETURN</t>
        </is>
      </c>
      <c r="O9" s="24" t="n"/>
      <c r="P9" s="24" t="n"/>
      <c r="Q9" s="41" t="n"/>
      <c r="R9" s="25" t="inlineStr">
        <is>
          <t>I was told this was to be repaired. Is it a repair or a pull?</t>
        </is>
      </c>
    </row>
    <row r="10" ht="60" customHeight="1">
      <c r="B10" s="40" t="inlineStr">
        <is>
          <t xml:space="preserve">KM </t>
        </is>
      </c>
      <c r="C10" s="24" t="inlineStr">
        <is>
          <t>68623468AE</t>
        </is>
      </c>
      <c r="D10" s="24" t="inlineStr">
        <is>
          <t>DEP</t>
        </is>
      </c>
      <c r="E10" s="24" t="inlineStr">
        <is>
          <t>TIAP1106610946</t>
        </is>
      </c>
      <c r="F10" s="24" t="n">
        <v>1</v>
      </c>
      <c r="G10" s="24" t="inlineStr">
        <is>
          <t>/</t>
        </is>
      </c>
      <c r="H10" s="24" t="n">
        <v>26601089</v>
      </c>
      <c r="I10" s="24" t="inlineStr">
        <is>
          <t>RDL20260604-01</t>
        </is>
      </c>
      <c r="J10" s="25" t="inlineStr">
        <is>
          <t> </t>
        </is>
      </c>
      <c r="K10" s="25" t="inlineStr">
        <is>
          <t>WITH OIL LEAK</t>
        </is>
      </c>
      <c r="L10" s="24" t="n"/>
      <c r="M10" s="25" t="inlineStr">
        <is>
          <t>Issue reviewed by ST Team</t>
        </is>
      </c>
      <c r="N10" s="24" t="n"/>
      <c r="O10" s="24" t="n"/>
      <c r="P10" s="25" t="inlineStr">
        <is>
          <t>Part had improper / incomplete braze - Supplier mis-handled defective part at their water leak test. Dry leak test had a sensor that became demounted allowing an untested part to move to finished goods area.</t>
        </is>
      </c>
      <c r="Q10" s="41" t="n"/>
      <c r="R10" s="24" t="n"/>
    </row>
    <row r="11" hidden="1" ht="60" customHeight="1">
      <c r="B11" s="40" t="inlineStr">
        <is>
          <t>MP</t>
        </is>
      </c>
      <c r="C11" s="24" t="inlineStr">
        <is>
          <t> </t>
        </is>
      </c>
      <c r="D11" s="53" t="inlineStr">
        <is>
          <t>DEP  DEP does not supply MP</t>
        </is>
      </c>
      <c r="E11" s="24" t="inlineStr">
        <is>
          <t>T236A141510581</t>
        </is>
      </c>
      <c r="F11" s="24" t="n">
        <v>1</v>
      </c>
      <c r="G11" s="24" t="n">
        <v>279652</v>
      </c>
      <c r="H11" s="24" t="n">
        <v>26600981</v>
      </c>
      <c r="I11" s="24" t="inlineStr">
        <is>
          <t>REWORK</t>
        </is>
      </c>
      <c r="J11" s="25" t="inlineStr">
        <is>
          <t>P051C Crankcase Pressure Sensor A Circuit Low
P051C Crankcase Pressure Sensor A Circuit Low</t>
        </is>
      </c>
      <c r="K11" s="25" t="inlineStr">
        <is>
          <t xml:space="preserve">MP, ENGINE PRESSURE SENSOR-CRANKCASE, WITH FAILURE DTC 
"P051CCRANKCASE PRESSURE SENSOR A CIRCUIT LOW" </t>
        </is>
      </c>
      <c r="L11" s="24" t="inlineStr">
        <is>
          <t xml:space="preserve">REWORK </t>
        </is>
      </c>
      <c r="M11" s="25" t="inlineStr">
        <is>
          <t>Issue reviewed by ST Team</t>
        </is>
      </c>
      <c r="N11" s="24" t="inlineStr">
        <is>
          <t xml:space="preserve">REWORK </t>
        </is>
      </c>
      <c r="O11" s="24" t="n"/>
      <c r="P11" s="24" t="n"/>
      <c r="Q11" s="41" t="n"/>
      <c r="R11" s="24" t="inlineStr">
        <is>
          <t>This is not a DEP component</t>
        </is>
      </c>
    </row>
    <row r="12" ht="120" customHeight="1">
      <c r="B12" s="40" t="inlineStr">
        <is>
          <t xml:space="preserve">KM </t>
        </is>
      </c>
      <c r="C12" s="24" t="inlineStr">
        <is>
          <t>68623468AE</t>
        </is>
      </c>
      <c r="D12" s="24" t="inlineStr">
        <is>
          <t>DEP</t>
        </is>
      </c>
      <c r="E12" s="25" t="inlineStr">
        <is>
          <t>TIAP105461049
TIAP1121610561</t>
        </is>
      </c>
      <c r="F12" s="24" t="n">
        <v>2</v>
      </c>
      <c r="G12" s="25" t="inlineStr">
        <is>
          <t>245943
281000</t>
        </is>
      </c>
      <c r="H12" s="24" t="n">
        <v>26601461</v>
      </c>
      <c r="I12" s="25" t="inlineStr">
        <is>
          <t>SDA/ RMA: RLD20260726-06 If engines are pulled. Engineering insists this is a calibration issue, and vehicles need to be driven, then clear codes.</t>
        </is>
      </c>
      <c r="J12" s="25" t="inlineStr">
        <is>
          <t>P2F71-00-ENGINE OIL CONTROL VALVE CONTROL CIRCUIT PERFORMANCE</t>
        </is>
      </c>
      <c r="K12" s="25" t="inlineStr">
        <is>
          <t>AUTO TRANS GAS, WITH INTERNAL FAILURE CODE
"0X2F7100 - ENGINE OIL CONTROL VALVE CONTROL CIRCUIT PERFORMANCE".
REPORTED AT MAYOR REPAIR AREA DETECTED AT ROLLS TEST</t>
        </is>
      </c>
      <c r="L12" s="24" t="inlineStr">
        <is>
          <t xml:space="preserve">QUARENTINE </t>
        </is>
      </c>
      <c r="M12" s="25" t="inlineStr">
        <is>
          <t>Issue reviewed by ST Team</t>
        </is>
      </c>
      <c r="N12" s="24" t="inlineStr">
        <is>
          <t xml:space="preserve">RETURN </t>
        </is>
      </c>
      <c r="O12" s="25" t="n"/>
      <c r="P12" s="25" t="n"/>
      <c r="Q12" s="39" t="n"/>
      <c r="R12" s="24" t="inlineStr">
        <is>
          <t>VVT Response normal at E-Check</t>
        </is>
      </c>
    </row>
    <row r="13" ht="45" customHeight="1">
      <c r="B13" s="40" t="inlineStr">
        <is>
          <t xml:space="preserve">KM </t>
        </is>
      </c>
      <c r="C13" s="24" t="inlineStr">
        <is>
          <t>68623468AE</t>
        </is>
      </c>
      <c r="D13" s="24" t="inlineStr">
        <is>
          <t>DEP</t>
        </is>
      </c>
      <c r="E13" s="24" t="inlineStr">
        <is>
          <t>TIAP1100610829</t>
        </is>
      </c>
      <c r="F13" s="24" t="n">
        <v>1</v>
      </c>
      <c r="G13" s="24" t="n">
        <v>230641</v>
      </c>
      <c r="H13" s="24" t="n">
        <v>26601392</v>
      </c>
      <c r="I13" s="24" t="inlineStr">
        <is>
          <t>RLD20260726-07</t>
        </is>
      </c>
      <c r="J13" s="25" t="inlineStr">
        <is>
          <t>P0339 Crankshaft Position Sensor Intermittent</t>
        </is>
      </c>
      <c r="K13" s="25" t="inlineStr">
        <is>
          <t>KM VIN 230641 WITH ACTIVE FAULTS +EPCM033900 P0339 CRANKSHAFT
POSITION SENSOR INTERMITTENT-</t>
        </is>
      </c>
      <c r="L13" s="24" t="inlineStr">
        <is>
          <t xml:space="preserve">QUARENTINE </t>
        </is>
      </c>
      <c r="M13" s="25" t="inlineStr">
        <is>
          <t>Issue reviewed by ST Team</t>
        </is>
      </c>
      <c r="N13" s="24" t="inlineStr">
        <is>
          <t xml:space="preserve">RETURN </t>
        </is>
      </c>
      <c r="O13" s="25" t="n"/>
      <c r="P13" s="25" t="n"/>
      <c r="Q13" s="39" t="n"/>
      <c r="R13" s="24" t="inlineStr">
        <is>
          <t>Crank signal normal at E-Check</t>
        </is>
      </c>
    </row>
    <row r="14" ht="105" customHeight="1">
      <c r="B14" s="40" t="inlineStr">
        <is>
          <t xml:space="preserve">KM </t>
        </is>
      </c>
      <c r="C14" s="24" t="inlineStr">
        <is>
          <t>68623468AE</t>
        </is>
      </c>
      <c r="D14" s="24" t="inlineStr">
        <is>
          <t>DEP</t>
        </is>
      </c>
      <c r="E14" s="25" t="inlineStr">
        <is>
          <t>TIAP1126610136
TIAP1125610858</t>
        </is>
      </c>
      <c r="F14" s="24" t="n">
        <v>2</v>
      </c>
      <c r="G14" s="25" t="inlineStr">
        <is>
          <t>283256
255556</t>
        </is>
      </c>
      <c r="H14" s="24" t="n">
        <v>26601391</v>
      </c>
      <c r="I14" s="25" t="inlineStr">
        <is>
          <t>Neither of these were dyno tested.
Request to not pull engine - Prodcut engineering contacted for assistance.
RLD20260726-08</t>
        </is>
      </c>
      <c r="J14" s="25" t="inlineStr">
        <is>
          <t>EPCM2C7F00 P2C7F
TURBOCHARGER TURBINE INLET VALVE POSITION SENSOR EXCEEDED LEARNING
LIMIT-</t>
        </is>
      </c>
      <c r="K14" s="25" t="inlineStr">
        <is>
          <t>KM VIN 283256 255556 WITH ACTIVE FAULTS +EPCM2C7F00 P2C7F
TURBOCHARGER TURBINE INLET VALVE POSITION SENSOR EXCEEDED LEARNING
LIMIT-</t>
        </is>
      </c>
      <c r="L14" s="24" t="inlineStr">
        <is>
          <t xml:space="preserve">QUARENTINE </t>
        </is>
      </c>
      <c r="M14" s="25" t="inlineStr">
        <is>
          <t>Issue reviewed by ST Team</t>
        </is>
      </c>
      <c r="N14" s="24" t="inlineStr">
        <is>
          <t xml:space="preserve">RETURN </t>
        </is>
      </c>
      <c r="O14" s="25" t="n"/>
      <c r="P14" s="25" t="n"/>
      <c r="Q14" s="39" t="n"/>
      <c r="R14" s="24" t="n"/>
    </row>
    <row r="15" hidden="1">
      <c r="B15" s="40" t="inlineStr">
        <is>
          <t xml:space="preserve">KM </t>
        </is>
      </c>
      <c r="C15" s="24" t="inlineStr">
        <is>
          <t>68623468AE</t>
        </is>
      </c>
      <c r="D15" s="24" t="inlineStr">
        <is>
          <t>KEP</t>
        </is>
      </c>
      <c r="E15" s="24" t="n"/>
      <c r="F15" s="24" t="n">
        <v>1</v>
      </c>
      <c r="G15" s="24" t="n"/>
      <c r="H15" s="24" t="n">
        <v>26601350</v>
      </c>
      <c r="I15" s="24" t="inlineStr">
        <is>
          <t>REWORK</t>
        </is>
      </c>
      <c r="J15" s="25" t="inlineStr">
        <is>
          <t>N/A</t>
        </is>
      </c>
      <c r="K15" s="25" t="inlineStr">
        <is>
          <t>WITH MISSING HOOSE</t>
        </is>
      </c>
      <c r="L15" s="24" t="inlineStr">
        <is>
          <t xml:space="preserve">REWORK </t>
        </is>
      </c>
      <c r="M15" s="25" t="inlineStr">
        <is>
          <t>Issue reviewed by ST Team</t>
        </is>
      </c>
      <c r="N15" s="24" t="inlineStr">
        <is>
          <t xml:space="preserve">REWORK </t>
        </is>
      </c>
      <c r="O15" s="24" t="n"/>
      <c r="P15" s="24" t="n"/>
      <c r="Q15" s="41" t="n"/>
      <c r="R15" s="24" t="n"/>
    </row>
    <row r="16" ht="60" customHeight="1">
      <c r="B16" s="40" t="inlineStr">
        <is>
          <t xml:space="preserve">KM </t>
        </is>
      </c>
      <c r="C16" s="24" t="inlineStr">
        <is>
          <t>68623468AE</t>
        </is>
      </c>
      <c r="D16" s="24" t="inlineStr">
        <is>
          <t>DEP</t>
        </is>
      </c>
      <c r="E16" s="25" t="inlineStr">
        <is>
          <t>TIAP1121610683
TIAP1121610681</t>
        </is>
      </c>
      <c r="F16" s="24" t="n">
        <v>2</v>
      </c>
      <c r="G16" s="25" t="inlineStr">
        <is>
          <t xml:space="preserve">243667 
273529 </t>
        </is>
      </c>
      <c r="H16" s="24" t="n">
        <v>26601343</v>
      </c>
      <c r="I16" s="24" t="inlineStr">
        <is>
          <t>SDA: RLD20260726-09</t>
        </is>
      </c>
      <c r="J16" s="25" t="inlineStr">
        <is>
          <t>N/A</t>
        </is>
      </c>
      <c r="K16" s="25" t="inlineStr">
        <is>
          <t>COOLANT LEAK AT THE QUICK CONNECT AT INSPECTION OF THE PART ITS VISIBLE THAT THE METAL CLIP ITS NOT COMPLETELY SETTLED ALSO THE PLASTIC HOSE.</t>
        </is>
      </c>
      <c r="L16" s="24" t="inlineStr">
        <is>
          <t xml:space="preserve">REWORK </t>
        </is>
      </c>
      <c r="M16" s="25" t="inlineStr">
        <is>
          <t>Issue reviewed by ST Team</t>
        </is>
      </c>
      <c r="N16" s="24" t="inlineStr">
        <is>
          <t xml:space="preserve">REWORK </t>
        </is>
      </c>
      <c r="O16" s="24" t="n"/>
      <c r="P16" s="24" t="n"/>
      <c r="Q16" s="41" t="n"/>
      <c r="R16" s="24" t="n"/>
    </row>
    <row r="17" hidden="1" ht="45" customHeight="1">
      <c r="B17" s="40" t="inlineStr">
        <is>
          <t xml:space="preserve">KM </t>
        </is>
      </c>
      <c r="C17" s="24" t="inlineStr">
        <is>
          <t>68623468AE</t>
        </is>
      </c>
      <c r="D17" s="24" t="inlineStr">
        <is>
          <t>KEP</t>
        </is>
      </c>
      <c r="E17" s="25" t="inlineStr">
        <is>
          <t>/
TIAP1121610135
/</t>
        </is>
      </c>
      <c r="F17" s="24" t="n">
        <v>3</v>
      </c>
      <c r="G17" s="25" t="inlineStr">
        <is>
          <t>281063
221567
257968</t>
        </is>
      </c>
      <c r="H17" s="24" t="n">
        <v>26601336</v>
      </c>
      <c r="I17" s="24" t="inlineStr">
        <is>
          <t>REWORK</t>
        </is>
      </c>
      <c r="J17" s="25" t="inlineStr">
        <is>
          <t>N/A</t>
        </is>
      </c>
      <c r="K17" s="25" t="inlineStr">
        <is>
          <t xml:space="preserve">COOLANT LEAK DUE TO LOOSE ENGINE COOLANT HOSES </t>
        </is>
      </c>
      <c r="L17" s="24" t="inlineStr">
        <is>
          <t xml:space="preserve">REWORK </t>
        </is>
      </c>
      <c r="M17" s="25" t="inlineStr">
        <is>
          <t>Issue reviewed by ST Team</t>
        </is>
      </c>
      <c r="N17" s="24" t="inlineStr">
        <is>
          <t xml:space="preserve">REWORK </t>
        </is>
      </c>
      <c r="O17" s="24" t="n"/>
      <c r="P17" s="24" t="n"/>
      <c r="Q17" s="41" t="n"/>
      <c r="R17" s="24" t="n"/>
    </row>
    <row r="18" ht="90" customHeight="1">
      <c r="B18" s="40" t="inlineStr">
        <is>
          <t xml:space="preserve">KM </t>
        </is>
      </c>
      <c r="C18" s="24" t="inlineStr">
        <is>
          <t>68623468AE</t>
        </is>
      </c>
      <c r="D18" s="24" t="inlineStr">
        <is>
          <t>DEP</t>
        </is>
      </c>
      <c r="E18" s="24" t="inlineStr">
        <is>
          <t>TIAP1125610376</t>
        </is>
      </c>
      <c r="F18" s="24" t="n">
        <v>1</v>
      </c>
      <c r="G18" s="24" t="n">
        <v>205516</v>
      </c>
      <c r="H18" s="24" t="n">
        <v>26601282</v>
      </c>
      <c r="I18" s="1" t="inlineStr">
        <is>
          <t xml:space="preserve">Not dyno tested
"Request to not pull engine - Prodcut engineering contacted for assistance. RLD20260618-03 </t>
        </is>
      </c>
      <c r="J18" s="25" t="inlineStr">
        <is>
          <t>P2C7F Turbocharger Turbine Inlet Valve Position Sensor Exceeded Learning Limit-</t>
        </is>
      </c>
      <c r="K18" s="25" t="inlineStr">
        <is>
          <t>KM:INOPERATIVE TURBOCHARGER TURBINE. ENGINE WITH INTERNAL FAILURE (TUR
BOCHARGER TURBINE INLET VALVE POSITION SENSOR EXCEEDED LEARNING LIMIT)
VIN 205516</t>
        </is>
      </c>
      <c r="L18" s="24" t="inlineStr">
        <is>
          <t xml:space="preserve">QUARENTINE </t>
        </is>
      </c>
      <c r="M18" s="25" t="inlineStr">
        <is>
          <t>Issue reviewed by ST Team</t>
        </is>
      </c>
      <c r="N18" s="24" t="inlineStr">
        <is>
          <t xml:space="preserve">RETURN </t>
        </is>
      </c>
      <c r="O18" s="25" t="n"/>
      <c r="P18" s="25" t="n"/>
      <c r="Q18" s="39" t="n"/>
      <c r="R18" s="24" t="n"/>
    </row>
    <row r="19" ht="45" customHeight="1">
      <c r="A19" s="70" t="n"/>
      <c r="B19" s="54" t="inlineStr">
        <is>
          <t xml:space="preserve">KM </t>
        </is>
      </c>
      <c r="C19" s="55" t="inlineStr">
        <is>
          <t>68623468AE</t>
        </is>
      </c>
      <c r="D19" s="55" t="inlineStr">
        <is>
          <t>DEP</t>
        </is>
      </c>
      <c r="E19" s="24" t="inlineStr">
        <is>
          <t>/</t>
        </is>
      </c>
      <c r="F19" s="24" t="n">
        <v>1</v>
      </c>
      <c r="G19" s="24" t="n">
        <v>235544</v>
      </c>
      <c r="H19" s="24" t="n">
        <v>26601268</v>
      </c>
      <c r="I19" s="56" t="inlineStr">
        <is>
          <t>PFS has this VIN listed as an MP, so not a DEP engine.</t>
        </is>
      </c>
      <c r="J19" s="25" t="inlineStr">
        <is>
          <t>TBD</t>
        </is>
      </c>
      <c r="K19" s="25" t="inlineStr">
        <is>
          <t xml:space="preserve">WITH INTERNAL FAILURE, CRANKSHAFT POSITION SENSOR INTERMITTENT </t>
        </is>
      </c>
      <c r="L19" s="24" t="inlineStr">
        <is>
          <t>QUARENTINE</t>
        </is>
      </c>
      <c r="M19" s="25" t="inlineStr">
        <is>
          <t>Identification is pending by production</t>
        </is>
      </c>
      <c r="N19" s="24" t="inlineStr">
        <is>
          <t xml:space="preserve">RETURN </t>
        </is>
      </c>
      <c r="O19" s="25" t="n"/>
      <c r="P19" s="25" t="n"/>
      <c r="Q19" s="39" t="n"/>
      <c r="R19" s="24" t="n"/>
    </row>
    <row r="20" ht="135" customHeight="1">
      <c r="B20" s="40" t="inlineStr">
        <is>
          <t xml:space="preserve">KM </t>
        </is>
      </c>
      <c r="C20" s="24" t="inlineStr">
        <is>
          <t>68623468AE</t>
        </is>
      </c>
      <c r="D20" s="24" t="inlineStr">
        <is>
          <t>DEP</t>
        </is>
      </c>
      <c r="E20" s="24" t="inlineStr">
        <is>
          <t>TIAP1118610799</t>
        </is>
      </c>
      <c r="F20" s="24" t="n">
        <v>1</v>
      </c>
      <c r="G20" s="24" t="n">
        <v>239830</v>
      </c>
      <c r="H20" s="24" t="n">
        <v>26601262</v>
      </c>
      <c r="I20" s="25" t="inlineStr">
        <is>
          <t>Expect this to hae been a deoiler issue. Engine should not have been pulled. Requested a deoiler swap on this engine previous. If it is pulled, RMA is RLD20260618-01</t>
        </is>
      </c>
      <c r="J20" s="25" t="inlineStr">
        <is>
          <t>P052E Positive Crankcase Ventilation Regulation Valve Performance</t>
        </is>
      </c>
      <c r="K20" s="25" t="inlineStr">
        <is>
          <t>KM vehicle exhibiting a significant amount of smoke coming from the exhaust, along with visible liquid discharge also exiting through the exhaust pipe.</t>
        </is>
      </c>
      <c r="L20" s="24" t="inlineStr">
        <is>
          <t xml:space="preserve">QUARENTINE </t>
        </is>
      </c>
      <c r="M20" s="25" t="inlineStr">
        <is>
          <t>Identification is pending by production</t>
        </is>
      </c>
      <c r="N20" s="24" t="inlineStr">
        <is>
          <t xml:space="preserve">RETURN </t>
        </is>
      </c>
      <c r="O20" s="25" t="n"/>
      <c r="P20" s="25" t="n"/>
      <c r="Q20" s="39" t="n"/>
      <c r="R20" s="24" t="n"/>
    </row>
    <row r="21" ht="90" customHeight="1">
      <c r="B21" s="40" t="inlineStr">
        <is>
          <t xml:space="preserve">KM </t>
        </is>
      </c>
      <c r="C21" s="24" t="inlineStr">
        <is>
          <t>68623468AE</t>
        </is>
      </c>
      <c r="D21" s="24" t="inlineStr">
        <is>
          <t>DEP</t>
        </is>
      </c>
      <c r="E21" s="24" t="inlineStr">
        <is>
          <t>TIAP1114610520</t>
        </is>
      </c>
      <c r="F21" s="24" t="n">
        <v>1</v>
      </c>
      <c r="G21" s="24" t="n">
        <v>274011</v>
      </c>
      <c r="H21" s="24" t="n">
        <v>26601261</v>
      </c>
      <c r="I21" s="25" t="inlineStr">
        <is>
          <t>Requested deoiler to be swapped out. No further info supplied back to DEP. SDA or RMA if alreayd pulled is RLD20260726-10</t>
        </is>
      </c>
      <c r="J21" s="25" t="inlineStr">
        <is>
          <t>BSR</t>
        </is>
      </c>
      <c r="K21" s="25" t="inlineStr">
        <is>
          <t xml:space="preserve">Noisy motor </t>
        </is>
      </c>
      <c r="L21" s="24" t="n"/>
      <c r="M21" s="25" t="inlineStr">
        <is>
          <t>Issue reviewed by ST Team</t>
        </is>
      </c>
      <c r="N21" s="24" t="inlineStr">
        <is>
          <t xml:space="preserve">RETURN </t>
        </is>
      </c>
      <c r="O21" s="24" t="n"/>
      <c r="P21" s="24" t="n"/>
      <c r="Q21" s="41" t="n"/>
      <c r="R21" s="24" t="n"/>
    </row>
    <row r="22" ht="45" customHeight="1">
      <c r="B22" s="42" t="inlineStr">
        <is>
          <t xml:space="preserve">KM </t>
        </is>
      </c>
      <c r="C22" s="28" t="inlineStr">
        <is>
          <t>68623468AE</t>
        </is>
      </c>
      <c r="D22" s="28" t="inlineStr">
        <is>
          <t>DEP</t>
        </is>
      </c>
      <c r="E22" s="28" t="n"/>
      <c r="F22" s="28" t="n">
        <v>0</v>
      </c>
      <c r="G22" s="28" t="n">
        <v>288679</v>
      </c>
      <c r="H22" s="28" t="n">
        <v>26601229</v>
      </c>
      <c r="I22" s="28" t="inlineStr">
        <is>
          <t xml:space="preserve">VOID NCT </t>
        </is>
      </c>
      <c r="J22" s="43" t="inlineStr">
        <is>
          <t xml:space="preserve">VOID NCT </t>
        </is>
      </c>
      <c r="K22" s="43" t="inlineStr">
        <is>
          <t>NC VOID REMARKS. IGNACIO ROMERO DUPLICATE TICKET 26601227 FOR THE SAME ISSUE.KM ,VIN 288679 MAKING NOISE UPON STARTUP</t>
        </is>
      </c>
      <c r="L22" s="28" t="n"/>
      <c r="M22" s="28" t="inlineStr">
        <is>
          <t>Identification is pending by production</t>
        </is>
      </c>
      <c r="N22" s="28" t="inlineStr">
        <is>
          <t xml:space="preserve">RETURN </t>
        </is>
      </c>
      <c r="O22" s="28" t="n"/>
      <c r="P22" s="28" t="n"/>
      <c r="Q22" s="44" t="n"/>
      <c r="R22" s="24" t="n"/>
    </row>
    <row r="23" ht="90" customHeight="1">
      <c r="B23" s="40" t="inlineStr">
        <is>
          <t xml:space="preserve">KM </t>
        </is>
      </c>
      <c r="C23" s="24" t="inlineStr">
        <is>
          <t>68623468AE</t>
        </is>
      </c>
      <c r="D23" s="55" t="inlineStr">
        <is>
          <t>DEP</t>
        </is>
      </c>
      <c r="E23" s="57" t="inlineStr">
        <is>
          <t>T025W1196M0885</t>
        </is>
      </c>
      <c r="F23" s="24" t="n">
        <v>1</v>
      </c>
      <c r="G23" s="24" t="n">
        <v>288679</v>
      </c>
      <c r="H23" s="24" t="n">
        <v>26601227</v>
      </c>
      <c r="I23" s="25" t="inlineStr">
        <is>
          <t>What is component listed for traceability. Not an engine serial number. No prior notification of this issue.</t>
        </is>
      </c>
      <c r="J23" s="25" t="inlineStr">
        <is>
          <t>BSR</t>
        </is>
      </c>
      <c r="K23" s="25" t="inlineStr">
        <is>
          <t xml:space="preserve">Noisy motor </t>
        </is>
      </c>
      <c r="L23" s="24" t="inlineStr">
        <is>
          <t xml:space="preserve">QUARENTINE </t>
        </is>
      </c>
      <c r="M23" s="25" t="inlineStr">
        <is>
          <t>Identification is pending by production</t>
        </is>
      </c>
      <c r="N23" s="24" t="inlineStr">
        <is>
          <t xml:space="preserve">RETURN </t>
        </is>
      </c>
      <c r="O23" s="25" t="n"/>
      <c r="P23" s="25" t="n"/>
      <c r="Q23" s="39" t="n"/>
      <c r="R23" s="24" t="n"/>
    </row>
    <row r="24" ht="30" customHeight="1">
      <c r="B24" s="45" t="inlineStr">
        <is>
          <t xml:space="preserve">KM </t>
        </is>
      </c>
      <c r="C24" s="29" t="inlineStr">
        <is>
          <t>68623468AE</t>
        </is>
      </c>
      <c r="D24" s="24" t="inlineStr">
        <is>
          <t>DEP</t>
        </is>
      </c>
      <c r="E24" s="29" t="inlineStr">
        <is>
          <t>/</t>
        </is>
      </c>
      <c r="F24" s="29" t="n">
        <v>1</v>
      </c>
      <c r="G24" s="29" t="n">
        <v>262321</v>
      </c>
      <c r="H24" s="29" t="n">
        <v>26601158</v>
      </c>
      <c r="I24" s="24" t="inlineStr">
        <is>
          <t>RLD20260726-07</t>
        </is>
      </c>
      <c r="J24" s="30" t="inlineStr">
        <is>
          <t>TBD</t>
        </is>
      </c>
      <c r="K24" s="30" t="inlineStr">
        <is>
          <t xml:space="preserve">KM VIN 262321: WON'T START DUE TO A FAULTY CRANKSHAFT SENSOR.         </t>
        </is>
      </c>
      <c r="L24" s="29" t="inlineStr">
        <is>
          <t xml:space="preserve">QUARENTINE </t>
        </is>
      </c>
      <c r="M24" s="30" t="n"/>
      <c r="N24" s="29" t="inlineStr">
        <is>
          <t xml:space="preserve">RETURN </t>
        </is>
      </c>
      <c r="O24" s="30" t="n"/>
      <c r="P24" s="30" t="n"/>
      <c r="Q24" s="46" t="n"/>
      <c r="R24" s="24" t="n"/>
    </row>
    <row r="25" hidden="1" ht="75" customHeight="1">
      <c r="B25" s="40" t="inlineStr">
        <is>
          <t xml:space="preserve">KM </t>
        </is>
      </c>
      <c r="C25" s="24" t="inlineStr">
        <is>
          <t>68623468AE</t>
        </is>
      </c>
      <c r="D25" s="24" t="inlineStr">
        <is>
          <t>KEP</t>
        </is>
      </c>
      <c r="E25" s="24" t="inlineStr">
        <is>
          <t>/</t>
        </is>
      </c>
      <c r="F25" s="24" t="n">
        <v>5</v>
      </c>
      <c r="G25" s="25" t="inlineStr">
        <is>
          <t>157360
276232
282713
281280
252389</t>
        </is>
      </c>
      <c r="H25" s="24" t="n">
        <v>26601110</v>
      </c>
      <c r="I25" s="24" t="inlineStr">
        <is>
          <t>REWORK</t>
        </is>
      </c>
      <c r="J25" s="25" t="inlineStr">
        <is>
          <t>N/A</t>
        </is>
      </c>
      <c r="K25" s="25" t="inlineStr">
        <is>
          <t>GAS COOLANT DISTRIBUITION HOSE TO THE TURBOCHARGER WHIT A LEAK</t>
        </is>
      </c>
      <c r="L25" s="24" t="inlineStr">
        <is>
          <t xml:space="preserve">REWORK </t>
        </is>
      </c>
      <c r="M25" s="25" t="inlineStr">
        <is>
          <t>ENGINE ASSY - 1.6L AUTO TRANS GAS COOLANT DISTRIBUITION HOSE TO
THE TURBOCHARGER WHIT A LEAK, FOUND AT MAYOR REPAIR,
VIN´S:157360,276232,282713,281280,252389.</t>
        </is>
      </c>
      <c r="N25" s="24" t="inlineStr">
        <is>
          <t xml:space="preserve">REWORK </t>
        </is>
      </c>
      <c r="O25" s="24" t="n"/>
      <c r="P25" s="24" t="n"/>
      <c r="Q25" s="41" t="n"/>
      <c r="R25" s="24" t="n"/>
    </row>
    <row r="26" ht="30" customHeight="1">
      <c r="B26" s="54" t="inlineStr">
        <is>
          <t>KM</t>
        </is>
      </c>
      <c r="C26" s="55" t="inlineStr">
        <is>
          <t>68623468AE</t>
        </is>
      </c>
      <c r="D26" s="55" t="inlineStr">
        <is>
          <t>DEP</t>
        </is>
      </c>
      <c r="E26" s="24" t="inlineStr">
        <is>
          <t>/</t>
        </is>
      </c>
      <c r="F26" s="24" t="n">
        <v>1</v>
      </c>
      <c r="G26" s="24" t="n">
        <v>224026</v>
      </c>
      <c r="H26" s="24" t="n"/>
      <c r="I26" s="58" t="inlineStr">
        <is>
          <t>Not a DEP Engine, this is an MP.</t>
        </is>
      </c>
      <c r="J26" s="25" t="inlineStr">
        <is>
          <t>P0339 Crankshaft Position Sensor Intermittent</t>
        </is>
      </c>
      <c r="K26" s="25" t="n"/>
      <c r="L26" s="24" t="inlineStr">
        <is>
          <t>QUARENTINE</t>
        </is>
      </c>
      <c r="M26" s="25" t="inlineStr">
        <is>
          <t>Information is pending by production</t>
        </is>
      </c>
      <c r="N26" s="24" t="n"/>
      <c r="O26" s="25" t="n"/>
      <c r="P26" s="25" t="n"/>
      <c r="Q26" s="39" t="n"/>
      <c r="R26" s="24" t="n"/>
    </row>
    <row r="27" ht="30" customHeight="1">
      <c r="B27" s="59" t="inlineStr">
        <is>
          <t>KM</t>
        </is>
      </c>
      <c r="C27" s="60" t="inlineStr">
        <is>
          <t>68623468AE</t>
        </is>
      </c>
      <c r="D27" s="55" t="inlineStr">
        <is>
          <t>DEP</t>
        </is>
      </c>
      <c r="E27" s="31" t="inlineStr">
        <is>
          <t>/</t>
        </is>
      </c>
      <c r="F27" s="31" t="n">
        <v>1</v>
      </c>
      <c r="G27" s="31" t="n">
        <v>208180</v>
      </c>
      <c r="H27" s="31" t="inlineStr">
        <is>
          <t>N/A</t>
        </is>
      </c>
      <c r="I27" s="58" t="inlineStr">
        <is>
          <t>Not a DEP Engine, this is an MP.</t>
        </is>
      </c>
      <c r="J27" s="32" t="inlineStr">
        <is>
          <t>N/A</t>
        </is>
      </c>
      <c r="K27" s="32" t="inlineStr">
        <is>
          <t>Deprogrammed engine, vaccum pump damaged</t>
        </is>
      </c>
      <c r="L27" s="24" t="inlineStr">
        <is>
          <t>QUARENTINE</t>
        </is>
      </c>
      <c r="M27" s="32" t="inlineStr">
        <is>
          <t>Deprogrammed engine, vaccum pump damaged</t>
        </is>
      </c>
      <c r="N27" s="31" t="n"/>
      <c r="O27" s="32" t="n"/>
      <c r="P27" s="32" t="n"/>
      <c r="Q27" s="47" t="n"/>
      <c r="R27" s="24" t="n"/>
    </row>
    <row r="28" ht="30" customHeight="1">
      <c r="B28" s="40" t="inlineStr">
        <is>
          <t>KM</t>
        </is>
      </c>
      <c r="C28" s="55" t="inlineStr">
        <is>
          <t>68623468AE</t>
        </is>
      </c>
      <c r="D28" s="55" t="inlineStr">
        <is>
          <t>DEP</t>
        </is>
      </c>
      <c r="E28" s="24" t="inlineStr">
        <is>
          <t>/</t>
        </is>
      </c>
      <c r="F28" s="24" t="n">
        <v>1</v>
      </c>
      <c r="G28" s="24" t="n">
        <v>271651</v>
      </c>
      <c r="H28" s="24" t="n">
        <v>26600876</v>
      </c>
      <c r="I28" s="58" t="inlineStr">
        <is>
          <t>Not a DEP Engine, this is an MP.</t>
        </is>
      </c>
      <c r="J28" s="25" t="inlineStr">
        <is>
          <t>P0339 Crankshaft Position Sensor Intermittent</t>
        </is>
      </c>
      <c r="K28" s="25" t="n"/>
      <c r="L28" s="24" t="inlineStr">
        <is>
          <t>QUARENTINE</t>
        </is>
      </c>
      <c r="M28" s="25" t="inlineStr">
        <is>
          <t>Issue reviewed by ST Team</t>
        </is>
      </c>
      <c r="N28" s="24" t="n"/>
      <c r="O28" s="25" t="n"/>
      <c r="P28" s="25" t="n"/>
      <c r="Q28" s="39" t="n"/>
      <c r="R28" s="24" t="n"/>
    </row>
    <row r="29" hidden="1">
      <c r="B29" s="40" t="inlineStr">
        <is>
          <t>MP</t>
        </is>
      </c>
      <c r="C29" s="24" t="inlineStr">
        <is>
          <t>68436296AG</t>
        </is>
      </c>
      <c r="D29" s="24" t="inlineStr">
        <is>
          <t>KEP</t>
        </is>
      </c>
      <c r="E29" s="24" t="inlineStr">
        <is>
          <t>TCH87339520827</t>
        </is>
      </c>
      <c r="F29" s="24" t="n">
        <v>1</v>
      </c>
      <c r="G29" s="24" t="n">
        <v>289093</v>
      </c>
      <c r="H29" s="24" t="inlineStr">
        <is>
          <t>N/A</t>
        </is>
      </c>
      <c r="I29" s="24" t="inlineStr">
        <is>
          <t>TBD</t>
        </is>
      </c>
      <c r="J29" s="24" t="inlineStr">
        <is>
          <t>N/A</t>
        </is>
      </c>
      <c r="K29" s="24" t="inlineStr">
        <is>
          <t>Deprogrammed engine</t>
        </is>
      </c>
      <c r="L29" s="24" t="inlineStr">
        <is>
          <t>QUARENTINE</t>
        </is>
      </c>
      <c r="M29" s="25" t="inlineStr">
        <is>
          <t>Deprogrammed engine</t>
        </is>
      </c>
      <c r="N29" s="24" t="n"/>
      <c r="O29" s="25" t="n"/>
      <c r="P29" s="25" t="n"/>
      <c r="Q29" s="39" t="n"/>
      <c r="R29" s="24" t="n"/>
    </row>
    <row r="30" hidden="1">
      <c r="B30" s="40" t="inlineStr">
        <is>
          <t>MP</t>
        </is>
      </c>
      <c r="C30" s="24" t="inlineStr">
        <is>
          <t>68436296AG</t>
        </is>
      </c>
      <c r="D30" s="24" t="inlineStr">
        <is>
          <t>KEP</t>
        </is>
      </c>
      <c r="E30" s="24" t="inlineStr">
        <is>
          <t>/</t>
        </is>
      </c>
      <c r="F30" s="24" t="n">
        <v>1</v>
      </c>
      <c r="G30" s="24" t="n">
        <v>261598</v>
      </c>
      <c r="H30" s="24" t="inlineStr">
        <is>
          <t>N/A</t>
        </is>
      </c>
      <c r="I30" s="24" t="inlineStr">
        <is>
          <t>TBD</t>
        </is>
      </c>
      <c r="J30" s="24" t="inlineStr">
        <is>
          <t>N/A</t>
        </is>
      </c>
      <c r="K30" s="24" t="inlineStr">
        <is>
          <t>screw swept thread</t>
        </is>
      </c>
      <c r="L30" s="24" t="inlineStr">
        <is>
          <t>QUARENTINE</t>
        </is>
      </c>
      <c r="M30" s="25" t="inlineStr">
        <is>
          <t>screw swept thread</t>
        </is>
      </c>
      <c r="N30" s="24" t="n"/>
      <c r="O30" s="25" t="n"/>
      <c r="P30" s="25" t="n"/>
      <c r="Q30" s="39" t="n"/>
      <c r="R30" s="24" t="n"/>
    </row>
    <row r="31" hidden="1">
      <c r="B31" s="40" t="inlineStr">
        <is>
          <t>MP</t>
        </is>
      </c>
      <c r="C31" s="24" t="inlineStr">
        <is>
          <t>68436296AG</t>
        </is>
      </c>
      <c r="D31" s="24" t="inlineStr">
        <is>
          <t>KEP</t>
        </is>
      </c>
      <c r="E31" s="24" t="inlineStr">
        <is>
          <t>/</t>
        </is>
      </c>
      <c r="F31" s="24" t="n">
        <v>1</v>
      </c>
      <c r="G31" s="24" t="n">
        <v>228146</v>
      </c>
      <c r="H31" s="24" t="inlineStr">
        <is>
          <t>N/A</t>
        </is>
      </c>
      <c r="I31" s="24" t="inlineStr">
        <is>
          <t>TBD</t>
        </is>
      </c>
      <c r="J31" s="24" t="inlineStr">
        <is>
          <t>N/A</t>
        </is>
      </c>
      <c r="K31" s="24" t="inlineStr">
        <is>
          <t>Validated by Raul Ávila. oil dipstick is broken</t>
        </is>
      </c>
      <c r="L31" s="24" t="inlineStr">
        <is>
          <t>QUARENTINE</t>
        </is>
      </c>
      <c r="M31" s="25" t="inlineStr">
        <is>
          <t>Validated by Raul Ávila. oil dipstick is broken</t>
        </is>
      </c>
      <c r="N31" s="24" t="n"/>
      <c r="O31" s="25" t="n"/>
      <c r="P31" s="25" t="n"/>
      <c r="Q31" s="39" t="n"/>
      <c r="R31" s="24" t="n"/>
    </row>
    <row r="32" hidden="1">
      <c r="B32" s="40" t="inlineStr">
        <is>
          <t>MP</t>
        </is>
      </c>
      <c r="C32" s="24" t="inlineStr">
        <is>
          <t>68436296AG</t>
        </is>
      </c>
      <c r="D32" s="24" t="inlineStr">
        <is>
          <t>KEP</t>
        </is>
      </c>
      <c r="E32" s="24" t="inlineStr">
        <is>
          <t>/</t>
        </is>
      </c>
      <c r="F32" s="24" t="n">
        <v>1</v>
      </c>
      <c r="G32" s="24" t="n">
        <v>278690</v>
      </c>
      <c r="H32" s="24" t="inlineStr">
        <is>
          <t>N/A</t>
        </is>
      </c>
      <c r="I32" s="24" t="inlineStr">
        <is>
          <t>TBD</t>
        </is>
      </c>
      <c r="J32" s="24" t="inlineStr">
        <is>
          <t>N/A</t>
        </is>
      </c>
      <c r="K32" s="24" t="inlineStr">
        <is>
          <t>Information is pending by production</t>
        </is>
      </c>
      <c r="L32" s="24" t="inlineStr">
        <is>
          <t>QUARENTINE</t>
        </is>
      </c>
      <c r="M32" s="25" t="inlineStr">
        <is>
          <t>Information is pending by production</t>
        </is>
      </c>
      <c r="N32" s="24" t="n"/>
      <c r="O32" s="25" t="n"/>
      <c r="P32" s="25" t="n"/>
      <c r="Q32" s="39" t="n"/>
      <c r="R32" s="24" t="n"/>
    </row>
    <row r="33" hidden="1">
      <c r="B33" s="40" t="inlineStr">
        <is>
          <t>MP</t>
        </is>
      </c>
      <c r="C33" s="24" t="inlineStr">
        <is>
          <t>68436296AG</t>
        </is>
      </c>
      <c r="D33" s="24" t="inlineStr">
        <is>
          <t>KEP</t>
        </is>
      </c>
      <c r="E33" s="24" t="inlineStr">
        <is>
          <t>/</t>
        </is>
      </c>
      <c r="F33" s="24" t="n">
        <v>1</v>
      </c>
      <c r="G33" s="24" t="n">
        <v>272706</v>
      </c>
      <c r="H33" s="24" t="inlineStr">
        <is>
          <t>N/A</t>
        </is>
      </c>
      <c r="I33" s="24" t="inlineStr">
        <is>
          <t>TBD</t>
        </is>
      </c>
      <c r="J33" s="24" t="inlineStr">
        <is>
          <t>N/A</t>
        </is>
      </c>
      <c r="K33" s="24" t="inlineStr">
        <is>
          <t>Information is pending by production</t>
        </is>
      </c>
      <c r="L33" s="24" t="inlineStr">
        <is>
          <t>QUARENTINE</t>
        </is>
      </c>
      <c r="M33" s="25" t="inlineStr">
        <is>
          <t>Information is pending by production</t>
        </is>
      </c>
      <c r="N33" s="24" t="n"/>
      <c r="O33" s="25" t="n"/>
      <c r="P33" s="25" t="n"/>
      <c r="Q33" s="39" t="n"/>
      <c r="R33" s="24" t="n"/>
    </row>
    <row r="34" hidden="1">
      <c r="B34" s="40" t="inlineStr">
        <is>
          <t>MP</t>
        </is>
      </c>
      <c r="C34" s="24" t="inlineStr">
        <is>
          <t>68436296AG</t>
        </is>
      </c>
      <c r="D34" s="24" t="inlineStr">
        <is>
          <t>KEP</t>
        </is>
      </c>
      <c r="E34" s="24" t="inlineStr">
        <is>
          <t>/</t>
        </is>
      </c>
      <c r="F34" s="24" t="n">
        <v>1</v>
      </c>
      <c r="G34" s="24" t="n">
        <v>263692</v>
      </c>
      <c r="H34" s="24" t="inlineStr">
        <is>
          <t>N/A</t>
        </is>
      </c>
      <c r="I34" s="24" t="inlineStr">
        <is>
          <t>TBD</t>
        </is>
      </c>
      <c r="J34" s="24" t="inlineStr">
        <is>
          <t>N/A</t>
        </is>
      </c>
      <c r="K34" s="24" t="inlineStr">
        <is>
          <t>Information is pending by production</t>
        </is>
      </c>
      <c r="L34" s="24" t="inlineStr">
        <is>
          <t>QUARENTINE</t>
        </is>
      </c>
      <c r="M34" s="25" t="inlineStr">
        <is>
          <t>Information is pending by production</t>
        </is>
      </c>
      <c r="N34" s="24" t="n"/>
      <c r="O34" s="25" t="n"/>
      <c r="P34" s="25" t="n"/>
      <c r="Q34" s="39" t="n"/>
      <c r="R34" s="24" t="n"/>
    </row>
    <row r="35" ht="75" customHeight="1">
      <c r="B35" s="40" t="inlineStr">
        <is>
          <t xml:space="preserve">KM </t>
        </is>
      </c>
      <c r="C35" s="24" t="inlineStr">
        <is>
          <t>68623468AE</t>
        </is>
      </c>
      <c r="D35" s="24" t="inlineStr">
        <is>
          <t>DEP</t>
        </is>
      </c>
      <c r="E35" s="24" t="inlineStr">
        <is>
          <t>TIAP1126610565</t>
        </is>
      </c>
      <c r="F35" s="24" t="n">
        <v>1</v>
      </c>
      <c r="G35" s="24" t="n">
        <v>280983</v>
      </c>
      <c r="H35" s="24" t="n">
        <v>26601472</v>
      </c>
      <c r="I35" s="25" t="inlineStr">
        <is>
          <t>Should be a repair, not a pull. Please let us know if this is already pulled. RLD20260726-11</t>
        </is>
      </c>
      <c r="J35" s="25" t="inlineStr">
        <is>
          <t>P25E5 B Camshaft Position Control Performance Bank 1</t>
        </is>
      </c>
      <c r="K35" s="25" t="inlineStr">
        <is>
          <t>VIN 280983 TIAP1126610565 WITH ACTIVE FAULTS +EPCM2F7100 P2F71 ???-
(UNIT REPORTED BY TULIO MERINO, MAJOR REPAIRS)</t>
        </is>
      </c>
      <c r="L35" s="24" t="inlineStr">
        <is>
          <t>ENGINE DRESS</t>
        </is>
      </c>
      <c r="M35" s="25" t="inlineStr">
        <is>
          <t>Issue reviewed by ST Team</t>
        </is>
      </c>
      <c r="N35" s="24" t="inlineStr">
        <is>
          <t>RETURN</t>
        </is>
      </c>
      <c r="O35" s="25" t="n"/>
      <c r="P35" s="25" t="n"/>
      <c r="Q35" s="39" t="n"/>
      <c r="R35" s="25" t="inlineStr">
        <is>
          <t>Cam and cranks sensors normal at E-check.  VVT Response normal.</t>
        </is>
      </c>
    </row>
    <row r="36" ht="75" customHeight="1">
      <c r="B36" s="40" t="inlineStr">
        <is>
          <t xml:space="preserve">KM </t>
        </is>
      </c>
      <c r="C36" s="24" t="inlineStr">
        <is>
          <t>68623468AE</t>
        </is>
      </c>
      <c r="D36" s="24" t="inlineStr">
        <is>
          <t>DEP</t>
        </is>
      </c>
      <c r="E36" s="24" t="inlineStr">
        <is>
          <t>TIAP1067610543</t>
        </is>
      </c>
      <c r="F36" s="24" t="n">
        <v>1</v>
      </c>
      <c r="G36" s="24" t="n">
        <v>264572</v>
      </c>
      <c r="H36" s="24" t="n">
        <v>26601473</v>
      </c>
      <c r="I36" s="25" t="inlineStr">
        <is>
          <t>Should be a repair, not a pull. Please let us know if this is already pulled. RLD20260726-11</t>
        </is>
      </c>
      <c r="J36" s="25" t="inlineStr">
        <is>
          <t xml:space="preserve">P25DF A Camshaft Position Control Performance Bank 1
</t>
        </is>
      </c>
      <c r="K36" s="25" t="inlineStr">
        <is>
          <t>KM, VIN 264572 WITH ACTIVE FAULTS: +EPCM25DF00 P25DF (CAMSHAFT
POSITION CONTROL PERFORMANCE, BANK 1) - (UNIT REPORTED BY TULIO IN
REPAIRS)</t>
        </is>
      </c>
      <c r="L36" s="24" t="inlineStr">
        <is>
          <t>QUARENTINE</t>
        </is>
      </c>
      <c r="M36" s="25" t="inlineStr">
        <is>
          <t>Issue reviewed by ST Team</t>
        </is>
      </c>
      <c r="N36" s="24" t="inlineStr">
        <is>
          <t>RETURN</t>
        </is>
      </c>
      <c r="O36" s="25" t="n"/>
      <c r="P36" s="25" t="n"/>
      <c r="Q36" s="39" t="n"/>
      <c r="R36" s="25" t="inlineStr">
        <is>
          <t>Cam and cranks sensors normal at E-check.  VVT Response normal.</t>
        </is>
      </c>
    </row>
    <row r="37" ht="60" customHeight="1">
      <c r="B37" s="40" t="inlineStr">
        <is>
          <t xml:space="preserve">KM </t>
        </is>
      </c>
      <c r="C37" s="24" t="inlineStr">
        <is>
          <t>68623468AE</t>
        </is>
      </c>
      <c r="D37" s="24" t="inlineStr">
        <is>
          <t>DEP</t>
        </is>
      </c>
      <c r="E37" s="25" t="inlineStr">
        <is>
          <t>TIAP1074610492
TIAP1126610198</t>
        </is>
      </c>
      <c r="F37" s="24" t="n">
        <v>2</v>
      </c>
      <c r="G37" s="25" t="inlineStr">
        <is>
          <t>243697
210375</t>
        </is>
      </c>
      <c r="H37" s="24" t="n">
        <v>26601497</v>
      </c>
      <c r="I37" s="24" t="inlineStr">
        <is>
          <t>RLD20260726-12</t>
        </is>
      </c>
      <c r="J37" s="25" t="inlineStr">
        <is>
          <t>U115C Lost Communication with ETM</t>
        </is>
      </c>
      <c r="K37" s="25" t="inlineStr">
        <is>
          <t>KM VIN243697 FALLAS ACTIVAS  +EPCM001600 P0016 CRANKSHAFT/CAMSHAFT TIMING MISALIGNMENT - BANK 1 SENSOR 1, (07/046/2026) ADDING ENGINE  210375 TIAP1134610250</t>
        </is>
      </c>
      <c r="L37" s="25" t="inlineStr">
        <is>
          <t xml:space="preserve">QUARENTINE 
</t>
        </is>
      </c>
      <c r="M37" s="25" t="inlineStr">
        <is>
          <t>Issue reviewed by ST Team</t>
        </is>
      </c>
      <c r="N37" s="24" t="inlineStr">
        <is>
          <t>RETURN</t>
        </is>
      </c>
      <c r="O37" s="25" t="n"/>
      <c r="P37" s="25" t="n"/>
      <c r="Q37" s="39" t="n"/>
      <c r="R37" s="25" t="inlineStr">
        <is>
          <t>Cam and cranks sensors normal at E-check.  VVT Response normal.</t>
        </is>
      </c>
    </row>
    <row r="38" ht="132.75" customHeight="1">
      <c r="B38" s="40" t="inlineStr">
        <is>
          <t xml:space="preserve">KM </t>
        </is>
      </c>
      <c r="C38" s="24" t="inlineStr">
        <is>
          <t>68623468AE</t>
        </is>
      </c>
      <c r="D38" s="24" t="inlineStr">
        <is>
          <t>DEP</t>
        </is>
      </c>
      <c r="E38" s="24" t="inlineStr">
        <is>
          <t>TIAPP1126610198</t>
        </is>
      </c>
      <c r="F38" s="24" t="n">
        <v>1</v>
      </c>
      <c r="G38" s="24" t="n">
        <v>204556</v>
      </c>
      <c r="H38" s="24" t="n">
        <v>26601525</v>
      </c>
      <c r="I38" s="25" t="inlineStr">
        <is>
          <t>SDA/ RMA: RLD20260726-06 If engines are pulled. Engineering insists this is a calibration issue, and vehicles need to be driven, then clear codes.</t>
        </is>
      </c>
      <c r="J38" s="25" t="inlineStr">
        <is>
          <t>P2F71-00-ENGINE OIL CONTROL VALVE CONTROL CIRCUIT PERFORMANCE</t>
        </is>
      </c>
      <c r="K38" s="25" t="inlineStr">
        <is>
          <t>KM ENGINE WITH INTERNAL FAILURE (P2F71) - ENGINE OIL CONTROL VALVE
CONTROL CIRCUIT PERFORMANCE. VIN 204556 TRACEABILITY: TIAPP1126610198</t>
        </is>
      </c>
      <c r="L38" s="24" t="inlineStr">
        <is>
          <t>QUARENTINE</t>
        </is>
      </c>
      <c r="M38" s="25" t="inlineStr">
        <is>
          <t>Issue reviewed by ST Team</t>
        </is>
      </c>
      <c r="N38" s="24" t="inlineStr">
        <is>
          <t>RETURN</t>
        </is>
      </c>
      <c r="O38" s="25" t="n"/>
      <c r="P38" s="25" t="n"/>
      <c r="Q38" s="39" t="n"/>
      <c r="R38" s="24" t="inlineStr">
        <is>
          <t>VVT Response normal at E-Check</t>
        </is>
      </c>
    </row>
    <row r="39" ht="150" customHeight="1">
      <c r="B39" s="40" t="inlineStr">
        <is>
          <t>KM</t>
        </is>
      </c>
      <c r="C39" s="24" t="inlineStr">
        <is>
          <t>68623468AE</t>
        </is>
      </c>
      <c r="D39" s="24" t="inlineStr">
        <is>
          <t>DEP</t>
        </is>
      </c>
      <c r="E39" s="25" t="inlineStr">
        <is>
          <t>TIAP1293510216  DEP Added</t>
        </is>
      </c>
      <c r="F39" s="24" t="n">
        <v>1</v>
      </c>
      <c r="G39" s="24" t="n">
        <v>157085</v>
      </c>
      <c r="H39" s="24" t="n">
        <v>26601475</v>
      </c>
      <c r="I39" s="1" t="inlineStr">
        <is>
          <t>"Request to not pull engine - Prodcut engineering contacted for assistance. RLD20260726-08
Engine dyno tested with no issue.</t>
        </is>
      </c>
      <c r="J39" s="25" t="inlineStr">
        <is>
          <t>P2C7F Turbocharger Turbine Inlet Valve Position Sensor Exceeded Learning Limit</t>
        </is>
      </c>
      <c r="K39" s="25" t="inlineStr">
        <is>
          <t xml:space="preserve">ON 06/29/2026, ENGINE  1.6L AUTO TRANS GAS, KM: PRESENTS A NO-START   CONDITION. ACTIVE DTCS P2C7F, P0351-00, P0352-00, P0353-00,P0354-00.   PHYSICAL INSPECTION FOUND ONE IGNITION COIL AND ITSCONNECTOR BURNED,   WHILE ANOTHER COIL CONTAINED LIQUID CONTAMINATION. SINCE ALL FOUR     IGNITION COILS SHARE THE SAME HARNESS, FAULTS WERE REPORTED ON ALL     FOUR CIRCUITS. DETECTED AT REPAIRS STATION, WAS FOUND BY THE TEAM LEADER, VIN 157085, 1 TOTAL SUSPECT/REJECT PART. </t>
        </is>
      </c>
      <c r="L39" s="24" t="n"/>
      <c r="M39" s="25" t="inlineStr">
        <is>
          <t>Issue reviewed by ST Team</t>
        </is>
      </c>
      <c r="N39" s="24" t="inlineStr">
        <is>
          <t>RETURN</t>
        </is>
      </c>
      <c r="O39" s="24" t="n"/>
      <c r="P39" s="24" t="n"/>
      <c r="Q39" s="41" t="n"/>
      <c r="R39" s="24" t="n"/>
    </row>
    <row r="40" ht="120" customHeight="1">
      <c r="B40" s="40" t="inlineStr">
        <is>
          <t>KM</t>
        </is>
      </c>
      <c r="C40" s="24" t="inlineStr">
        <is>
          <t>68623468AE</t>
        </is>
      </c>
      <c r="D40" s="24" t="inlineStr">
        <is>
          <t>DEP</t>
        </is>
      </c>
      <c r="E40" s="24" t="inlineStr">
        <is>
          <t>TIAP1126610308</t>
        </is>
      </c>
      <c r="F40" s="24" t="n">
        <v>1</v>
      </c>
      <c r="G40" s="24" t="n">
        <v>237172</v>
      </c>
      <c r="H40" s="24" t="n">
        <v>26601469</v>
      </c>
      <c r="I40" s="25" t="inlineStr">
        <is>
          <t>SDA/ RMA: RLD20260726-06 If engines are pulled. Engineering insists this is a calibration issue, and vehicles need to be driven, then clear codes.</t>
        </is>
      </c>
      <c r="J40" s="25" t="inlineStr">
        <is>
          <t>P2F71-00-ENGINE OIL CONTROL VALVE CONTROL CIRCUIT PERFORMANCE</t>
        </is>
      </c>
      <c r="K40" s="25" t="inlineStr">
        <is>
          <t>KM ENGINE OIL CONTROL VALVE CONTROL CIRCUIT PERFORMANCE - ACTIVE
FAILURE. VIN 237172</t>
        </is>
      </c>
      <c r="L40" s="24" t="n"/>
      <c r="M40" s="25" t="inlineStr">
        <is>
          <t>Issue reviewed by ST Team</t>
        </is>
      </c>
      <c r="N40" s="24" t="inlineStr">
        <is>
          <t>RETURN</t>
        </is>
      </c>
      <c r="O40" s="24" t="n"/>
      <c r="P40" s="24" t="n"/>
      <c r="Q40" s="41" t="n"/>
      <c r="R40" s="25" t="inlineStr">
        <is>
          <t>Cam and cranks sensors normal at E-check.  VVT Response normal.</t>
        </is>
      </c>
    </row>
    <row r="41">
      <c r="B41" s="40" t="inlineStr">
        <is>
          <t>KM</t>
        </is>
      </c>
      <c r="C41" s="24" t="inlineStr">
        <is>
          <t>68623468AE</t>
        </is>
      </c>
      <c r="D41" s="24" t="inlineStr">
        <is>
          <t>DEP</t>
        </is>
      </c>
      <c r="E41" s="24" t="inlineStr">
        <is>
          <t>TIAP1121610213</t>
        </is>
      </c>
      <c r="F41" s="24" t="n">
        <v>1</v>
      </c>
      <c r="G41" s="24" t="n">
        <v>274011</v>
      </c>
      <c r="H41" s="24" t="n">
        <v>26600970</v>
      </c>
      <c r="I41" s="61" t="inlineStr">
        <is>
          <t>RLD20260726-10</t>
        </is>
      </c>
      <c r="J41" s="25" t="inlineStr">
        <is>
          <t>BSR</t>
        </is>
      </c>
      <c r="K41" s="25" t="inlineStr">
        <is>
          <t>KM VIN 274011 WITH NOISE DURING THE ROAD TEST.</t>
        </is>
      </c>
      <c r="L41" s="24" t="n"/>
      <c r="M41" s="25" t="inlineStr">
        <is>
          <t>Issue reviewed by ST Team</t>
        </is>
      </c>
      <c r="N41" s="24" t="inlineStr">
        <is>
          <t>RETURN</t>
        </is>
      </c>
      <c r="O41" s="24" t="n"/>
      <c r="P41" s="24" t="n"/>
      <c r="Q41" s="41" t="n"/>
      <c r="R41" s="24" t="inlineStr">
        <is>
          <t>NVH appeared normal at E-Check</t>
        </is>
      </c>
    </row>
    <row r="42" hidden="1" ht="30" customHeight="1">
      <c r="B42" s="40" t="inlineStr">
        <is>
          <t>MP</t>
        </is>
      </c>
      <c r="C42" s="24" t="inlineStr">
        <is>
          <t>68436296AG</t>
        </is>
      </c>
      <c r="D42" s="24" t="inlineStr">
        <is>
          <t>KEP</t>
        </is>
      </c>
      <c r="E42" s="24" t="inlineStr">
        <is>
          <t>/</t>
        </is>
      </c>
      <c r="F42" s="24" t="n">
        <v>1</v>
      </c>
      <c r="G42" s="24" t="n">
        <v>259711</v>
      </c>
      <c r="H42" s="24" t="n">
        <v>26601521</v>
      </c>
      <c r="I42" s="24" t="inlineStr">
        <is>
          <t>PENDING</t>
        </is>
      </c>
      <c r="J42" s="24" t="inlineStr">
        <is>
          <t>N/A</t>
        </is>
      </c>
      <c r="K42" s="25" t="inlineStr">
        <is>
          <t>MP - ENGINE ASSY - 2.0L DI TURBO GAS AUTO TRANS WITH BSR, VIN 259711</t>
        </is>
      </c>
      <c r="L42" s="24" t="n"/>
      <c r="M42" s="25" t="inlineStr">
        <is>
          <t>Issue reviewed by ST Team</t>
        </is>
      </c>
      <c r="N42" s="24" t="inlineStr">
        <is>
          <t>RETURN</t>
        </is>
      </c>
      <c r="O42" s="24" t="n"/>
      <c r="P42" s="24" t="n"/>
      <c r="Q42" s="41" t="n"/>
      <c r="R42" s="24" t="n"/>
    </row>
    <row r="43" hidden="1" ht="45" customHeight="1">
      <c r="B43" s="42" t="inlineStr">
        <is>
          <t>MP</t>
        </is>
      </c>
      <c r="C43" s="28" t="inlineStr">
        <is>
          <t xml:space="preserve"> 68436296AG  </t>
        </is>
      </c>
      <c r="D43" s="28" t="inlineStr">
        <is>
          <t>s</t>
        </is>
      </c>
      <c r="E43" s="28" t="n"/>
      <c r="F43" s="28" t="n">
        <v>1</v>
      </c>
      <c r="G43" s="28" t="n"/>
      <c r="H43" s="28" t="n">
        <v>26601520</v>
      </c>
      <c r="I43" s="28" t="inlineStr">
        <is>
          <t xml:space="preserve">VOID NCT </t>
        </is>
      </c>
      <c r="J43" s="28" t="inlineStr">
        <is>
          <t xml:space="preserve">VOID NCT </t>
        </is>
      </c>
      <c r="K43" s="43" t="inlineStr">
        <is>
          <t xml:space="preserve">MP . ENGINE ASSY - 2.0L DI TURBO GAS AUTO TRANS NC VOID REMARKS. MARIANNE TRUJILLO WRONG SUPPLIER CODE, THE NCT MUST SEND TO ITALY FCA  </t>
        </is>
      </c>
      <c r="L43" s="28" t="n"/>
      <c r="M43" s="28" t="inlineStr">
        <is>
          <t xml:space="preserve">VOID NCT </t>
        </is>
      </c>
      <c r="N43" s="28" t="n"/>
      <c r="O43" s="28" t="n"/>
      <c r="P43" s="28" t="n"/>
      <c r="Q43" s="44" t="n"/>
      <c r="R43" s="24" t="n"/>
    </row>
    <row r="44" hidden="1" ht="105" customHeight="1">
      <c r="B44" s="40" t="inlineStr">
        <is>
          <t>MP</t>
        </is>
      </c>
      <c r="C44" s="24" t="inlineStr">
        <is>
          <t xml:space="preserve"> 68436296AG  </t>
        </is>
      </c>
      <c r="D44" s="24" t="inlineStr">
        <is>
          <t>KEP</t>
        </is>
      </c>
      <c r="E44" s="24" t="inlineStr">
        <is>
          <t>TCH87336520498</t>
        </is>
      </c>
      <c r="F44" s="24" t="n">
        <v>1</v>
      </c>
      <c r="G44" s="24" t="n">
        <v>281786</v>
      </c>
      <c r="H44" s="24" t="n">
        <v>26601517</v>
      </c>
      <c r="I44" s="24" t="inlineStr">
        <is>
          <t>PENDING</t>
        </is>
      </c>
      <c r="J44" s="25" t="inlineStr">
        <is>
          <t>P0365 CAMSHAFT POSITION SENSOR CIRCUIT - BANK 1 SENSOR 2
P006D BAROMETRIC PRESSURE - INLET AIR PRESSURE CORRELATION</t>
        </is>
      </c>
      <c r="K44" s="25" t="inlineStr">
        <is>
          <t>MP, ENGINE-2.0L DI TURBO GAS AUTO, WITH DTC SENSOR FAILURE "P0365
CAMSHAFT POSITION SENSOR CIRCUIT - BANK 1 SENSOR 2" "P006D BAROMETRIC
PRESSURE - INLET AIR PRESSURE CORRELATION", REPORTED AT MAYOR REPAIR,
1 REJECTED PART VIN 281786, TCH87336520498.</t>
        </is>
      </c>
      <c r="L44" s="24" t="inlineStr">
        <is>
          <t>QUARENTINE</t>
        </is>
      </c>
      <c r="M44" s="25" t="inlineStr">
        <is>
          <t>Issue reviewed by ST Team</t>
        </is>
      </c>
      <c r="N44" s="24" t="inlineStr">
        <is>
          <t>RETURN</t>
        </is>
      </c>
      <c r="O44" s="25" t="n"/>
      <c r="P44" s="25" t="n"/>
      <c r="Q44" s="39" t="n"/>
      <c r="R44" s="24" t="n"/>
    </row>
    <row r="45" hidden="1" ht="105" customHeight="1">
      <c r="B45" s="40" t="inlineStr">
        <is>
          <t>MP</t>
        </is>
      </c>
      <c r="C45" s="24" t="inlineStr">
        <is>
          <t xml:space="preserve"> 68436296AG  </t>
        </is>
      </c>
      <c r="D45" s="24" t="inlineStr">
        <is>
          <t>KEP</t>
        </is>
      </c>
      <c r="E45" s="24" t="inlineStr">
        <is>
          <t xml:space="preserve"> TCH87345520053</t>
        </is>
      </c>
      <c r="F45" s="24" t="n">
        <v>1</v>
      </c>
      <c r="G45" s="24" t="n">
        <v>291435</v>
      </c>
      <c r="H45" s="24" t="n">
        <v>26601507</v>
      </c>
      <c r="I45" s="24" t="inlineStr">
        <is>
          <t>PENDING</t>
        </is>
      </c>
      <c r="J45" s="25" t="inlineStr">
        <is>
          <t>P0017 CRANKSHAFT/CAMSHAFT TIMING MISALIGNMENT - BANK 1 SENSOR 2
P0016 CRANKSHAFT/CAMSHAFT TIMING MISALIGNMENT - BANK 1 SENSOR 1</t>
        </is>
      </c>
      <c r="K45" s="25" t="inlineStr">
        <is>
          <t>MP, ENGINE ASSY - 2.0L DI TURBO GAS AUTO TRANS, WITH DTC FAILURE CODE
P0017 CRANKSHAFT/CAMSHAFT TIMING MISALIGNMENT - BANK 1 SENSOR 2,
P0016 CRANKSHAFT/CAMSHAFT TIMING MISALIGNMENT - BANK 1 SENSOR 1, VIN
291435, TCH87345520053.</t>
        </is>
      </c>
      <c r="L45" s="24" t="n"/>
      <c r="M45" s="25" t="inlineStr">
        <is>
          <t>Issue reviewed by ST Team</t>
        </is>
      </c>
      <c r="N45" s="24" t="inlineStr">
        <is>
          <t>RETURN</t>
        </is>
      </c>
      <c r="O45" s="24" t="n"/>
      <c r="P45" s="24" t="n"/>
      <c r="Q45" s="41" t="n"/>
      <c r="R45" s="24" t="n"/>
    </row>
    <row r="46" ht="120" customHeight="1">
      <c r="B46" s="40" t="inlineStr">
        <is>
          <t>KM</t>
        </is>
      </c>
      <c r="C46" s="24" t="inlineStr">
        <is>
          <t>68623468AE</t>
        </is>
      </c>
      <c r="D46" s="24" t="inlineStr">
        <is>
          <t>DEP</t>
        </is>
      </c>
      <c r="E46" s="24" t="inlineStr">
        <is>
          <t xml:space="preserve">TIAP1054610496 </t>
        </is>
      </c>
      <c r="F46" s="24" t="n">
        <v>1</v>
      </c>
      <c r="G46" s="24" t="n">
        <v>210375</v>
      </c>
      <c r="H46" s="24" t="n">
        <v>26601529</v>
      </c>
      <c r="I46" s="24" t="inlineStr">
        <is>
          <t>RLD20260726-11</t>
        </is>
      </c>
      <c r="J46" s="25" t="inlineStr">
        <is>
          <t xml:space="preserve">P25DE A CAMSHAFT POSITION - UNABLE TO ACHIEVE LOCKED POSITION  BANK 1
P0011 BANK 1 CAMSHAFT 1 POSITION TIMING OVER ADVANCED OR SYSTEM PERFORMANCE"
</t>
        </is>
      </c>
      <c r="K46" s="25" t="inlineStr">
        <is>
          <t xml:space="preserve">KM, ENGINE  1.6L AUTO TRANS GAS, WITH ACTIVE FAILURE CODE DTC
      "P25DE A CAMSHAFT POSITION - UNABLE TO ACHIEVE LOCKED POSITION  BANK
1" "P0011 BANK 1 CAMSHAFT 1 POSITION TIMING OVER ADVANCED OR SYSTEM
 PERFORMANCE", REPORTED AT MAYOR REPAIR, VIN 210375 TIAP1054610496   </t>
        </is>
      </c>
      <c r="L46" s="24" t="inlineStr">
        <is>
          <t>QUARENTINE</t>
        </is>
      </c>
      <c r="M46" s="25" t="inlineStr">
        <is>
          <t>Issue reviewed by ST Team</t>
        </is>
      </c>
      <c r="N46" s="24" t="inlineStr">
        <is>
          <t>RETURN</t>
        </is>
      </c>
      <c r="O46" s="25" t="n"/>
      <c r="P46" s="25" t="n"/>
      <c r="Q46" s="39" t="n"/>
      <c r="R46" s="25" t="inlineStr">
        <is>
          <t>Cam and cranks sensors normal at E-check.  VVT Response normal.</t>
        </is>
      </c>
    </row>
    <row r="47" ht="60" customHeight="1">
      <c r="B47" s="40" t="inlineStr">
        <is>
          <t>KM</t>
        </is>
      </c>
      <c r="C47" s="24" t="inlineStr">
        <is>
          <t>68623468AE</t>
        </is>
      </c>
      <c r="D47" s="24" t="inlineStr">
        <is>
          <t>DEP</t>
        </is>
      </c>
      <c r="E47" s="24" t="inlineStr">
        <is>
          <t>TIAP1324510073</t>
        </is>
      </c>
      <c r="F47" s="24" t="n">
        <v>1</v>
      </c>
      <c r="G47" s="24" t="n">
        <v>264090</v>
      </c>
      <c r="H47" s="24" t="n">
        <v>26601553</v>
      </c>
      <c r="I47" s="62" t="inlineStr">
        <is>
          <t>RLD20260726-13</t>
        </is>
      </c>
      <c r="J47" s="62" t="inlineStr">
        <is>
          <t>Pending</t>
        </is>
      </c>
      <c r="K47" s="25" t="inlineStr">
        <is>
          <t>KM, ENGINE – 1.6L AUTO TRANS GAS, WITH OIL LEAK AT THE JUNCTION
OF THE TRANSMISSION AND THE ENGINE BLOC, VIN 264090 TIAP1324510073</t>
        </is>
      </c>
      <c r="L47" s="24" t="inlineStr">
        <is>
          <t>QUARENTINE</t>
        </is>
      </c>
      <c r="M47" s="25" t="inlineStr">
        <is>
          <t>Issue reviewed by ST Team</t>
        </is>
      </c>
      <c r="N47" s="24" t="inlineStr">
        <is>
          <t>RETURN</t>
        </is>
      </c>
      <c r="O47" s="25" t="n"/>
      <c r="P47" s="25" t="n"/>
      <c r="Q47" s="39" t="n"/>
      <c r="R47" s="24" t="n"/>
    </row>
    <row r="48" ht="75" customHeight="1">
      <c r="B48" s="40" t="inlineStr">
        <is>
          <t>KM</t>
        </is>
      </c>
      <c r="C48" s="24" t="inlineStr">
        <is>
          <t>68623468AE</t>
        </is>
      </c>
      <c r="D48" s="24" t="inlineStr">
        <is>
          <t>DEP</t>
        </is>
      </c>
      <c r="E48" s="24" t="inlineStr">
        <is>
          <t>TIAP1138610946</t>
        </is>
      </c>
      <c r="F48" s="24" t="n">
        <v>1</v>
      </c>
      <c r="G48" s="24" t="n">
        <v>293660</v>
      </c>
      <c r="H48" s="24" t="n">
        <v>26601709</v>
      </c>
      <c r="I48" s="63" t="inlineStr">
        <is>
          <t>RLD20260726-07</t>
        </is>
      </c>
      <c r="J48" s="25" t="inlineStr">
        <is>
          <t>P1AC6 MCPA Crankshaft Position Signal Sensor Performance</t>
        </is>
      </c>
      <c r="K48" s="25" t="inlineStr">
        <is>
          <t>KM, ENGINE ASSY - 1.6L AUTO TRANS GAS, WITH ACTIVE FAILURE DTC CODE
"P1AC6 MCPA CRANKSHAFT POSITION SIGNAL SENSOR PERFORMANCE", VIN
293660 TIAP1138610946</t>
        </is>
      </c>
      <c r="L48" s="24" t="inlineStr">
        <is>
          <t>REPAIR</t>
        </is>
      </c>
      <c r="M48" s="25" t="inlineStr">
        <is>
          <t>Issue reviewed by ST Team</t>
        </is>
      </c>
      <c r="N48" s="24" t="inlineStr">
        <is>
          <t>RETURN</t>
        </is>
      </c>
      <c r="O48" s="24" t="n"/>
      <c r="P48" s="24" t="n"/>
      <c r="Q48" s="41" t="n"/>
      <c r="R48" s="24" t="inlineStr">
        <is>
          <t>Crank signal normal at E-Check</t>
        </is>
      </c>
    </row>
    <row r="49" ht="30" customHeight="1">
      <c r="B49" s="40" t="inlineStr">
        <is>
          <t>KM</t>
        </is>
      </c>
      <c r="C49" s="24" t="inlineStr">
        <is>
          <t>68623468AE</t>
        </is>
      </c>
      <c r="D49" s="24" t="inlineStr">
        <is>
          <t>DEP</t>
        </is>
      </c>
      <c r="E49" s="24" t="inlineStr">
        <is>
          <t>TIAP1121610876</t>
        </is>
      </c>
      <c r="F49" s="24" t="n">
        <v>1</v>
      </c>
      <c r="G49" s="24" t="n">
        <v>204568</v>
      </c>
      <c r="H49" s="24" t="inlineStr">
        <is>
          <t>26601761</t>
        </is>
      </c>
      <c r="I49" s="63" t="inlineStr">
        <is>
          <t>RLD20260726-14</t>
        </is>
      </c>
      <c r="J49" s="24" t="inlineStr">
        <is>
          <t>N/A</t>
        </is>
      </c>
      <c r="K49" s="25" t="inlineStr">
        <is>
          <t>KM ENGINE WITH LOOSE FLYWHEEL VIN: 204568 TRACEABILITY: TIAP1121610876</t>
        </is>
      </c>
      <c r="L49" s="24" t="inlineStr">
        <is>
          <t>REPAIR</t>
        </is>
      </c>
      <c r="M49" s="25" t="inlineStr">
        <is>
          <t>Issue reviewed by ST Team</t>
        </is>
      </c>
      <c r="N49" s="24" t="inlineStr">
        <is>
          <t>RETURN</t>
        </is>
      </c>
      <c r="O49" s="24" t="n"/>
      <c r="P49" s="24" t="n"/>
      <c r="Q49" s="41" t="n"/>
      <c r="R49" s="24" t="n"/>
    </row>
    <row r="50" ht="45" customHeight="1">
      <c r="B50" s="40" t="inlineStr">
        <is>
          <t>KM</t>
        </is>
      </c>
      <c r="C50" s="24" t="inlineStr">
        <is>
          <t>68623468AE</t>
        </is>
      </c>
      <c r="D50" s="24" t="inlineStr">
        <is>
          <t>DEP</t>
        </is>
      </c>
      <c r="E50" s="24" t="inlineStr">
        <is>
          <t>TIAP1139610470</t>
        </is>
      </c>
      <c r="F50" s="24" t="n">
        <v>1</v>
      </c>
      <c r="G50" s="24" t="n">
        <v>292963</v>
      </c>
      <c r="H50" s="24" t="inlineStr">
        <is>
          <t>26601725</t>
        </is>
      </c>
      <c r="I50" s="64" t="inlineStr">
        <is>
          <t>Requested this to be a repair. RLD20260722-01</t>
        </is>
      </c>
      <c r="J50" s="24" t="inlineStr">
        <is>
          <t>N/A</t>
        </is>
      </c>
      <c r="K50" s="25" t="inlineStr">
        <is>
          <t xml:space="preserve">KM ENGINE WITH FRACTURED HOSE (AIR FILTER CONNECTION), VIN 292963,
  TIAP1139610470                                     </t>
        </is>
      </c>
      <c r="L50" s="24" t="inlineStr">
        <is>
          <t>ENGINE DRESS</t>
        </is>
      </c>
      <c r="M50" s="25" t="inlineStr">
        <is>
          <t>Issue reviewed by ST Team</t>
        </is>
      </c>
      <c r="N50" s="24" t="inlineStr">
        <is>
          <t>RETURN</t>
        </is>
      </c>
      <c r="O50" s="24" t="n"/>
      <c r="P50" s="24" t="n"/>
      <c r="Q50" s="41" t="n"/>
      <c r="R50" s="24" t="n"/>
    </row>
    <row r="51" ht="120" customHeight="1">
      <c r="B51" s="40" t="inlineStr">
        <is>
          <t>KM</t>
        </is>
      </c>
      <c r="C51" s="24" t="inlineStr">
        <is>
          <t>68623468AE</t>
        </is>
      </c>
      <c r="D51" s="24" t="inlineStr">
        <is>
          <t>DEP</t>
        </is>
      </c>
      <c r="E51" s="24" t="inlineStr">
        <is>
          <t>TIAP1135610606</t>
        </is>
      </c>
      <c r="F51" s="24" t="n">
        <v>1</v>
      </c>
      <c r="G51" s="24" t="n">
        <v>236260</v>
      </c>
      <c r="H51" s="24" t="inlineStr">
        <is>
          <t>26601656</t>
        </is>
      </c>
      <c r="I51" s="25" t="inlineStr">
        <is>
          <t>Should not have been pulled. Dundee should have been contacted. This is either a deoiler issue or a check valve issue. RLD20260618-01</t>
        </is>
      </c>
      <c r="J51" s="24" t="inlineStr">
        <is>
          <t>N/A</t>
        </is>
      </c>
      <c r="K51" s="25" t="inlineStr">
        <is>
          <t xml:space="preserve">KM: 68623468AE ENGINE WITH EXCESS OF SMOKE EMISSIONS VIN 236260,
    TIAP1135610606 ON 07-15-2026 DURING  3RD SHIFT REPORTED BY TEAM
     LEADER       </t>
        </is>
      </c>
      <c r="L51" s="24" t="inlineStr">
        <is>
          <t>ENGINE DRESS</t>
        </is>
      </c>
      <c r="M51" s="25" t="inlineStr">
        <is>
          <t>Issue reviewed by ST Team</t>
        </is>
      </c>
      <c r="N51" s="24" t="inlineStr">
        <is>
          <t>RETURN</t>
        </is>
      </c>
      <c r="O51" s="24" t="n"/>
      <c r="P51" s="24" t="n"/>
      <c r="Q51" s="41" t="n"/>
      <c r="R51" s="24" t="n"/>
    </row>
    <row r="52" ht="45" customHeight="1">
      <c r="B52" s="40" t="inlineStr">
        <is>
          <t>KM</t>
        </is>
      </c>
      <c r="C52" s="24" t="inlineStr">
        <is>
          <t>68623468AE</t>
        </is>
      </c>
      <c r="D52" s="24" t="inlineStr">
        <is>
          <t>DEP</t>
        </is>
      </c>
      <c r="E52" s="24" t="inlineStr">
        <is>
          <t>TIAP1134610571</t>
        </is>
      </c>
      <c r="F52" s="24" t="n">
        <v>1</v>
      </c>
      <c r="G52" s="24" t="n">
        <v>238995</v>
      </c>
      <c r="H52" s="24" t="n">
        <v>26601593</v>
      </c>
      <c r="I52" s="24" t="inlineStr">
        <is>
          <t>RLD20260726-15</t>
        </is>
      </c>
      <c r="J52" s="24" t="inlineStr">
        <is>
          <t>N/A</t>
        </is>
      </c>
      <c r="K52" s="25" t="inlineStr">
        <is>
          <t>KM:  ENGINE-1.6L AUTO TRANS GAS WITH BELT OUT OF POSITION. VIN 238995 TIAP1134610571   PNP68623468AE</t>
        </is>
      </c>
      <c r="L52" s="24" t="inlineStr">
        <is>
          <t>ENGINE DRESS</t>
        </is>
      </c>
      <c r="M52" s="25" t="inlineStr">
        <is>
          <t>Issue reviewed by ST Team</t>
        </is>
      </c>
      <c r="N52" s="24" t="inlineStr">
        <is>
          <t xml:space="preserve">REWORK </t>
        </is>
      </c>
      <c r="O52" s="24" t="n"/>
      <c r="P52" s="24" t="n"/>
      <c r="Q52" s="41" t="n"/>
      <c r="R52" s="24" t="n"/>
    </row>
    <row r="53" ht="120" customHeight="1">
      <c r="B53" s="48" t="inlineStr">
        <is>
          <t>KM</t>
        </is>
      </c>
      <c r="C53" s="26" t="inlineStr">
        <is>
          <t>68623468AE</t>
        </is>
      </c>
      <c r="D53" s="26" t="inlineStr">
        <is>
          <t>DEP</t>
        </is>
      </c>
      <c r="E53" s="26" t="inlineStr">
        <is>
          <t xml:space="preserve">TIAP1134610344   </t>
        </is>
      </c>
      <c r="F53" s="26" t="n">
        <v>1</v>
      </c>
      <c r="G53" s="26" t="n">
        <v>288150</v>
      </c>
      <c r="H53" s="26" t="n">
        <v>26601587</v>
      </c>
      <c r="I53" s="63" t="inlineStr">
        <is>
          <t>Looks like an oil cooler leak, do you have spare Oil Cooler parts? Can this be repaired in vehicle or is the engine pulled already? RLD20260726-16</t>
        </is>
      </c>
      <c r="J53" s="26" t="inlineStr">
        <is>
          <t>N/A</t>
        </is>
      </c>
      <c r="K53" s="27" t="inlineStr">
        <is>
          <t xml:space="preserve">KM VIN 288150 ENGINE WITH A LEAK REPORTED BY THE TEAM CHIEF DURING    MAJOR REPAIRS.TIAP1134610344   </t>
        </is>
      </c>
      <c r="L53" s="26" t="inlineStr">
        <is>
          <t>ENGINE DRESS</t>
        </is>
      </c>
      <c r="M53" s="27" t="inlineStr">
        <is>
          <t>Issue reviewed by ST Team (Ignacio Romero)</t>
        </is>
      </c>
      <c r="N53" s="26" t="inlineStr">
        <is>
          <t>RETURN</t>
        </is>
      </c>
      <c r="O53" s="26" t="n"/>
      <c r="P53" s="26" t="n"/>
      <c r="Q53" s="49" t="n"/>
      <c r="R53" s="24" t="n"/>
    </row>
    <row r="54" hidden="1" ht="45" customHeight="1">
      <c r="B54" s="40" t="inlineStr">
        <is>
          <t>MP</t>
        </is>
      </c>
      <c r="C54" s="24" t="inlineStr">
        <is>
          <t xml:space="preserve"> 68436296AG  </t>
        </is>
      </c>
      <c r="D54" s="24" t="inlineStr">
        <is>
          <t>KEP</t>
        </is>
      </c>
      <c r="E54" s="24" t="inlineStr">
        <is>
          <t>/</t>
        </is>
      </c>
      <c r="F54" s="24" t="n">
        <v>1</v>
      </c>
      <c r="G54" s="24" t="n">
        <v>291767</v>
      </c>
      <c r="H54" s="50" t="n">
        <v>26601604</v>
      </c>
      <c r="I54" s="24" t="inlineStr">
        <is>
          <t>REWORK</t>
        </is>
      </c>
      <c r="J54" s="25" t="inlineStr">
        <is>
          <t>EPCM013800 P0138 O2 SENSOR 1/2 CIRCUIT HIGH</t>
        </is>
      </c>
      <c r="K54" s="25" t="inlineStr">
        <is>
          <t xml:space="preserve">MP WITH ACTIVE FAULTS +EPCM013800 P0138 O2 SENSOR 1/2 CIRCUIT HIGH    (BENT PIN IN HARNESS) VIN 291767      </t>
        </is>
      </c>
      <c r="L54" s="24" t="inlineStr">
        <is>
          <t xml:space="preserve">REWORK </t>
        </is>
      </c>
      <c r="M54" s="27" t="inlineStr">
        <is>
          <t>Issue reviewed by ST Team (Ignacio Romero)</t>
        </is>
      </c>
      <c r="N54" s="24" t="inlineStr">
        <is>
          <t xml:space="preserve">REWORK </t>
        </is>
      </c>
      <c r="O54" s="24" t="n"/>
      <c r="P54" s="24" t="n"/>
      <c r="Q54" s="41" t="n"/>
      <c r="R54" s="24" t="n"/>
    </row>
    <row r="55" hidden="1" ht="45" customHeight="1">
      <c r="B55" s="40" t="inlineStr">
        <is>
          <t>MP</t>
        </is>
      </c>
      <c r="C55" s="24" t="inlineStr">
        <is>
          <t xml:space="preserve"> 68436296AG  </t>
        </is>
      </c>
      <c r="D55" s="24" t="inlineStr">
        <is>
          <t>KEP</t>
        </is>
      </c>
      <c r="E55" s="24" t="inlineStr">
        <is>
          <t xml:space="preserve"> TCH87014620316</t>
        </is>
      </c>
      <c r="F55" s="24" t="n">
        <v>1</v>
      </c>
      <c r="G55" s="24" t="n">
        <v>291562</v>
      </c>
      <c r="H55" s="50" t="n">
        <v>26601594</v>
      </c>
      <c r="I55" s="24" t="inlineStr">
        <is>
          <t>PENDING</t>
        </is>
      </c>
      <c r="J55" s="24" t="inlineStr">
        <is>
          <t>N/A</t>
        </is>
      </c>
      <c r="K55" s="25" t="inlineStr">
        <is>
          <t xml:space="preserve">MP: ENGINE ASSY - 2.0L DI TURBO GAS AUTO TRANS WIRH POORLY MACHINED,
EXCESS MATERIAL. VIN 291562 TCH87014620316     </t>
        </is>
      </c>
      <c r="L55" s="24" t="inlineStr">
        <is>
          <t>ENGINE DRESS</t>
        </is>
      </c>
      <c r="M55" s="25" t="inlineStr">
        <is>
          <t>Issue reviewed by ST Team</t>
        </is>
      </c>
      <c r="N55" s="24" t="inlineStr">
        <is>
          <t>RETURN</t>
        </is>
      </c>
      <c r="O55" s="24" t="n"/>
      <c r="P55" s="24" t="n"/>
      <c r="Q55" s="41" t="n"/>
      <c r="R55" s="24" t="n"/>
    </row>
    <row r="56" hidden="1" ht="30" customHeight="1">
      <c r="B56" s="40" t="inlineStr">
        <is>
          <t>MP</t>
        </is>
      </c>
      <c r="C56" s="24" t="inlineStr">
        <is>
          <t xml:space="preserve"> 68436296AG  </t>
        </is>
      </c>
      <c r="D56" s="24" t="inlineStr">
        <is>
          <t>KEP</t>
        </is>
      </c>
      <c r="E56" s="24" t="inlineStr">
        <is>
          <t>TCH870146200316</t>
        </is>
      </c>
      <c r="F56" s="24" t="n">
        <v>1</v>
      </c>
      <c r="G56" s="24" t="n">
        <v>291560</v>
      </c>
      <c r="H56" s="50" t="n">
        <v>26601586</v>
      </c>
      <c r="I56" s="24" t="inlineStr">
        <is>
          <t>PENDING</t>
        </is>
      </c>
      <c r="J56" s="24" t="inlineStr">
        <is>
          <t>N/A</t>
        </is>
      </c>
      <c r="K56" s="25" t="inlineStr">
        <is>
          <t xml:space="preserve">MP INTERNAL DIAMETER OBSTRUCTED DUE TO LACK OF MACHINING              TCH870146200316 VIN 291560              </t>
        </is>
      </c>
      <c r="L56" s="24" t="inlineStr">
        <is>
          <t>ENGINE DRESS</t>
        </is>
      </c>
      <c r="M56" s="27" t="inlineStr">
        <is>
          <t>Issue reviewed by ST Team (Luis Antonio Barrera)</t>
        </is>
      </c>
      <c r="N56" s="24" t="inlineStr">
        <is>
          <t>RETURN</t>
        </is>
      </c>
      <c r="O56" s="24" t="n"/>
      <c r="P56" s="24" t="n"/>
      <c r="Q56" s="41" t="n"/>
      <c r="R56" s="24" t="n"/>
    </row>
    <row r="57" hidden="1" ht="105" customHeight="1">
      <c r="B57" s="40" t="inlineStr">
        <is>
          <t>MP</t>
        </is>
      </c>
      <c r="C57" s="24" t="inlineStr">
        <is>
          <t xml:space="preserve"> 68436296AG  </t>
        </is>
      </c>
      <c r="D57" s="26" t="inlineStr">
        <is>
          <t>KEP</t>
        </is>
      </c>
      <c r="E57" s="26" t="inlineStr">
        <is>
          <t>TCH87350520620</t>
        </is>
      </c>
      <c r="F57" s="26" t="n">
        <v>1</v>
      </c>
      <c r="G57" s="26" t="n">
        <v>291358</v>
      </c>
      <c r="H57" s="51" t="n">
        <v>26601582</v>
      </c>
      <c r="I57" s="26" t="inlineStr">
        <is>
          <t>PENDING</t>
        </is>
      </c>
      <c r="J57" s="26" t="inlineStr">
        <is>
          <t>E-PCM-STRTStart Engine</t>
        </is>
      </c>
      <c r="K57" s="27" t="inlineStr">
        <is>
          <t xml:space="preserve">MP, Engine-2.0l Di Turbo Gas Auto, on 07/09/2026, at 1° shift, on mayor repair department, 
was found by the Team Leader with a «No start engine» issue, WCC report shows active DTC 
failure code from Prefinal test «E-PCM-STRTStart Engine», for VIN 291358 TCH87350520620, 
1 Rejected part.  </t>
        </is>
      </c>
      <c r="L57" s="26" t="inlineStr">
        <is>
          <t>ENGINE DRESS</t>
        </is>
      </c>
      <c r="M57" s="25" t="inlineStr">
        <is>
          <t>Issue reviewed by ST Team</t>
        </is>
      </c>
      <c r="N57" s="24" t="inlineStr">
        <is>
          <t>RETURN</t>
        </is>
      </c>
      <c r="O57" s="26" t="n"/>
      <c r="P57" s="26" t="n"/>
      <c r="Q57" s="49" t="n"/>
      <c r="R57" s="26" t="n"/>
    </row>
    <row r="58" ht="105" customHeight="1">
      <c r="A58" s="71" t="n"/>
      <c r="B58" s="72" t="inlineStr"/>
      <c r="C58" s="73" t="inlineStr"/>
      <c r="D58" s="74" t="inlineStr">
        <is>
          <t>05221</t>
        </is>
      </c>
      <c r="E58" s="74" t="inlineStr"/>
      <c r="F58" s="74" t="n">
        <v>1</v>
      </c>
      <c r="G58" s="74" t="inlineStr"/>
      <c r="H58" s="51" t="inlineStr">
        <is>
          <t>26601843</t>
        </is>
      </c>
      <c r="I58" s="74" t="inlineStr"/>
      <c r="J58" s="74" t="inlineStr"/>
      <c r="K58" s="75" t="inlineStr"/>
      <c r="L58" s="74" t="inlineStr"/>
      <c r="M58" s="76" t="inlineStr"/>
      <c r="N58" s="73" t="inlineStr"/>
      <c r="O58" s="74" t="inlineStr"/>
      <c r="P58" s="74" t="inlineStr"/>
      <c r="Q58" s="77" t="inlineStr"/>
      <c r="R58" s="74" t="inlineStr"/>
    </row>
    <row r="59" ht="105" customHeight="1">
      <c r="A59" s="71" t="n"/>
      <c r="B59" s="72" t="inlineStr"/>
      <c r="C59" s="73" t="inlineStr"/>
      <c r="D59" s="74" t="inlineStr">
        <is>
          <t>05221</t>
        </is>
      </c>
      <c r="E59" s="74" t="inlineStr"/>
      <c r="F59" s="74" t="n">
        <v>1</v>
      </c>
      <c r="G59" s="74" t="inlineStr"/>
      <c r="H59" s="51" t="inlineStr">
        <is>
          <t>26601828</t>
        </is>
      </c>
      <c r="I59" s="74" t="inlineStr"/>
      <c r="J59" s="74" t="inlineStr"/>
      <c r="K59" s="75" t="inlineStr"/>
      <c r="L59" s="74" t="inlineStr"/>
      <c r="M59" s="76" t="inlineStr"/>
      <c r="N59" s="73" t="inlineStr"/>
      <c r="O59" s="74" t="inlineStr"/>
      <c r="P59" s="74" t="inlineStr"/>
      <c r="Q59" s="77" t="inlineStr"/>
      <c r="R59" s="74" t="inlineStr"/>
    </row>
    <row r="60" ht="105" customHeight="1">
      <c r="A60" s="71" t="n"/>
      <c r="B60" s="72" t="inlineStr"/>
      <c r="C60" s="73" t="inlineStr"/>
      <c r="D60" s="74" t="inlineStr">
        <is>
          <t>05221</t>
        </is>
      </c>
      <c r="E60" s="74" t="inlineStr"/>
      <c r="F60" s="74" t="n">
        <v>1</v>
      </c>
      <c r="G60" s="74" t="inlineStr"/>
      <c r="H60" s="51" t="inlineStr">
        <is>
          <t>26601808</t>
        </is>
      </c>
      <c r="I60" s="74" t="inlineStr"/>
      <c r="J60" s="74" t="inlineStr"/>
      <c r="K60" s="75" t="inlineStr"/>
      <c r="L60" s="74" t="inlineStr"/>
      <c r="M60" s="76" t="inlineStr"/>
      <c r="N60" s="73" t="inlineStr"/>
      <c r="O60" s="74" t="inlineStr"/>
      <c r="P60" s="74" t="inlineStr"/>
      <c r="Q60" s="77" t="inlineStr"/>
      <c r="R60" s="74" t="inlineStr"/>
    </row>
  </sheetData>
  <pageMargins left="0.7" right="0.7" top="0.75" bottom="0.75" header="0.3" footer="0.3"/>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filterMode="1">
    <outlinePr summaryBelow="1" summaryRight="1"/>
    <pageSetUpPr/>
  </sheetPr>
  <dimension ref="A1:P34"/>
  <sheetViews>
    <sheetView topLeftCell="A25" workbookViewId="0">
      <selection activeCell="C39" sqref="C39"/>
    </sheetView>
  </sheetViews>
  <sheetFormatPr baseColWidth="8" defaultRowHeight="15"/>
  <cols>
    <col width="22.5703125" bestFit="1" customWidth="1" min="1" max="1"/>
    <col width="22.5703125" customWidth="1" min="2" max="2"/>
    <col width="15.7109375" bestFit="1" customWidth="1" style="1" min="3" max="3"/>
    <col width="15.42578125" customWidth="1" style="1" min="4" max="4"/>
    <col hidden="1" width="15.42578125" customWidth="1" style="1" min="5" max="5"/>
    <col hidden="1" width="12.7109375" customWidth="1" style="1" min="6" max="6"/>
    <col width="25.5703125" bestFit="1" customWidth="1" min="7" max="7"/>
    <col width="17.28515625" customWidth="1" min="11" max="11"/>
    <col width="20.140625" customWidth="1" min="12" max="12"/>
    <col width="13.28515625" customWidth="1" min="13" max="14"/>
    <col width="25.5703125" bestFit="1" customWidth="1" min="15" max="15"/>
  </cols>
  <sheetData>
    <row r="1" ht="45" customHeight="1">
      <c r="A1" s="1" t="inlineStr">
        <is>
          <t>Todos los VINs que fuereron reportados por correo (Iquib)</t>
        </is>
      </c>
    </row>
    <row r="2">
      <c r="A2" s="65" t="inlineStr">
        <is>
          <t>KM</t>
        </is>
      </c>
      <c r="B2" s="78" t="n"/>
      <c r="C2" s="78" t="n"/>
      <c r="D2" s="78" t="n"/>
      <c r="E2" s="78" t="n"/>
      <c r="F2" s="78" t="n"/>
      <c r="J2" s="79" t="inlineStr">
        <is>
          <t>MP</t>
        </is>
      </c>
      <c r="K2" s="80" t="n"/>
    </row>
    <row r="3" ht="45" customHeight="1">
      <c r="A3" s="2" t="inlineStr">
        <is>
          <t xml:space="preserve">VIN </t>
        </is>
      </c>
      <c r="B3" s="2" t="inlineStr">
        <is>
          <t xml:space="preserve">TRACEBILITY </t>
        </is>
      </c>
      <c r="C3" s="3" t="inlineStr">
        <is>
          <t xml:space="preserve">CUARENTENA </t>
        </is>
      </c>
      <c r="D3" s="3" t="inlineStr">
        <is>
          <t>REPARACIONES (ELEFANTE)</t>
        </is>
      </c>
      <c r="E3" s="3" t="inlineStr">
        <is>
          <t>CAMBIO IQUIB</t>
        </is>
      </c>
      <c r="F3" s="3" t="inlineStr">
        <is>
          <t xml:space="preserve">NOTAS </t>
        </is>
      </c>
      <c r="J3" s="17" t="inlineStr">
        <is>
          <t xml:space="preserve">VIN </t>
        </is>
      </c>
      <c r="K3" s="17" t="inlineStr">
        <is>
          <t xml:space="preserve">TRACEBILITY </t>
        </is>
      </c>
      <c r="L3" s="3" t="inlineStr">
        <is>
          <t xml:space="preserve">CUARENTENA </t>
        </is>
      </c>
      <c r="M3" s="3" t="inlineStr">
        <is>
          <t>REPARACIONES (ELEFANTE)</t>
        </is>
      </c>
      <c r="N3" s="3" t="n"/>
      <c r="O3" s="3" t="inlineStr">
        <is>
          <t xml:space="preserve">NOTAS </t>
        </is>
      </c>
    </row>
    <row r="4" ht="30" customHeight="1">
      <c r="A4" s="4" t="inlineStr">
        <is>
          <t>3C4PJMB21TT250503</t>
        </is>
      </c>
      <c r="B4" s="4" t="inlineStr">
        <is>
          <t>T26DK073600180</t>
        </is>
      </c>
      <c r="C4" s="9" t="n">
        <v>1</v>
      </c>
      <c r="D4" s="3" t="n"/>
      <c r="E4" s="3" t="n"/>
      <c r="F4" s="3" t="inlineStr">
        <is>
          <t xml:space="preserve">1ra solicitud RDM </t>
        </is>
      </c>
      <c r="J4" s="18" t="n">
        <v>281710</v>
      </c>
      <c r="K4" s="18" t="inlineStr">
        <is>
          <t>TCA6E152600572</t>
        </is>
      </c>
      <c r="L4" s="3" t="n"/>
      <c r="M4" s="3" t="n">
        <v>1</v>
      </c>
      <c r="N4" s="3" t="n"/>
      <c r="O4" s="3" t="n"/>
    </row>
    <row r="5" hidden="1" ht="30" customHeight="1">
      <c r="A5" s="5" t="inlineStr">
        <is>
          <t>3C4PJMB26TT263361</t>
        </is>
      </c>
      <c r="B5" s="5" t="n"/>
      <c r="C5" s="6" t="n"/>
      <c r="D5" s="6" t="n"/>
      <c r="E5" s="8" t="n">
        <v>1</v>
      </c>
      <c r="F5" s="6" t="n"/>
      <c r="J5" s="17" t="n">
        <v>270681</v>
      </c>
      <c r="K5" s="18" t="inlineStr">
        <is>
          <t>TCA6E158600065</t>
        </is>
      </c>
      <c r="L5" s="3" t="n"/>
      <c r="M5" s="3" t="n">
        <v>1</v>
      </c>
      <c r="N5" s="3" t="inlineStr">
        <is>
          <t>1 SUSP. COMPLETA</t>
        </is>
      </c>
      <c r="O5" s="3" t="inlineStr">
        <is>
          <t xml:space="preserve">UNIDAD CAMBIO DE RDM 3 VECES </t>
        </is>
      </c>
    </row>
    <row r="6">
      <c r="A6" s="4" t="inlineStr">
        <is>
          <t xml:space="preserve"> 3C4PJMB2XTT273567</t>
        </is>
      </c>
      <c r="B6" s="4" t="inlineStr">
        <is>
          <t>T26DK059600190</t>
        </is>
      </c>
      <c r="C6" s="3" t="n">
        <v>1</v>
      </c>
      <c r="D6" s="3" t="n"/>
      <c r="E6" s="7" t="n">
        <v>1</v>
      </c>
      <c r="F6" s="3" t="n"/>
      <c r="G6" s="10" t="inlineStr">
        <is>
          <t>COINCIDE</t>
        </is>
      </c>
      <c r="J6" s="17" t="n">
        <v>272829</v>
      </c>
      <c r="K6" s="18" t="inlineStr">
        <is>
          <t>TCA6E104600249</t>
        </is>
      </c>
      <c r="L6" s="3" t="n"/>
      <c r="M6" s="3" t="n">
        <v>1</v>
      </c>
      <c r="N6" s="3" t="n"/>
      <c r="O6" s="3" t="n"/>
    </row>
    <row r="7">
      <c r="A7" s="4" t="inlineStr">
        <is>
          <t>3C4PJMB26TT283206</t>
        </is>
      </c>
      <c r="B7" s="4" t="inlineStr">
        <is>
          <t>T26DK034600339</t>
        </is>
      </c>
      <c r="C7" s="3" t="n">
        <v>1</v>
      </c>
      <c r="D7" s="3" t="n"/>
      <c r="E7" s="7" t="n">
        <v>1</v>
      </c>
      <c r="F7" s="3" t="n"/>
      <c r="G7" s="11" t="inlineStr">
        <is>
          <t xml:space="preserve">NO COINCIDE </t>
        </is>
      </c>
    </row>
    <row r="8">
      <c r="A8" s="4" t="inlineStr">
        <is>
          <t>3C4PJMB29TT262253</t>
        </is>
      </c>
      <c r="B8" s="4" t="inlineStr">
        <is>
          <t>T26DK089600197</t>
        </is>
      </c>
      <c r="C8" s="3" t="n">
        <v>1</v>
      </c>
      <c r="D8" s="3" t="n"/>
      <c r="E8" s="7" t="n">
        <v>1</v>
      </c>
      <c r="F8" s="3" t="n"/>
      <c r="G8" s="12" t="inlineStr">
        <is>
          <t xml:space="preserve">FALTA </t>
        </is>
      </c>
    </row>
    <row r="9">
      <c r="A9" s="21" t="inlineStr">
        <is>
          <t>3C4PJMB28TT270201</t>
        </is>
      </c>
      <c r="B9" s="4" t="inlineStr">
        <is>
          <t>T26DK070600091</t>
        </is>
      </c>
      <c r="C9" s="3" t="n">
        <v>1</v>
      </c>
      <c r="D9" s="3" t="n"/>
      <c r="E9" s="7" t="n">
        <v>1</v>
      </c>
      <c r="F9" s="3" t="n"/>
      <c r="G9" s="14" t="inlineStr">
        <is>
          <t xml:space="preserve">PENDIENTE DE VIN </t>
        </is>
      </c>
      <c r="L9">
        <f>SUM(L4:L6)</f>
        <v/>
      </c>
      <c r="M9">
        <f>SUM(M4:M6)</f>
        <v/>
      </c>
      <c r="N9" t="n">
        <v>1</v>
      </c>
    </row>
    <row r="10" hidden="1">
      <c r="A10" s="5" t="inlineStr">
        <is>
          <t>3C4PJMB25TT269040</t>
        </is>
      </c>
      <c r="B10" s="5" t="n"/>
      <c r="C10" s="6" t="n"/>
      <c r="D10" s="6" t="n"/>
      <c r="E10" s="6" t="n"/>
      <c r="F10" s="6" t="n"/>
      <c r="O10" t="inlineStr">
        <is>
          <t xml:space="preserve">TOTAL PIEZAS IDENTIFICADAS </t>
        </is>
      </c>
      <c r="P10">
        <f>SUM(L9:N9)</f>
        <v/>
      </c>
    </row>
    <row r="11" hidden="1">
      <c r="A11" s="4" t="inlineStr">
        <is>
          <t>3C4PJMB29TT262530</t>
        </is>
      </c>
      <c r="B11" s="4" t="inlineStr">
        <is>
          <t>T26DK080600408</t>
        </is>
      </c>
      <c r="C11" s="3" t="n"/>
      <c r="D11" s="9" t="n">
        <v>1</v>
      </c>
      <c r="E11" s="3" t="n"/>
      <c r="F11" s="3" t="n"/>
    </row>
    <row r="12" hidden="1">
      <c r="A12" s="5" t="inlineStr">
        <is>
          <t xml:space="preserve">3C4PJMB20TT233787 </t>
        </is>
      </c>
      <c r="B12" s="5" t="n"/>
      <c r="C12" s="6" t="n"/>
      <c r="D12" s="6" t="n"/>
      <c r="E12" s="8" t="n">
        <v>1</v>
      </c>
      <c r="F12" s="6" t="n"/>
    </row>
    <row r="13" hidden="1">
      <c r="A13" s="5" t="inlineStr">
        <is>
          <t>3C4PJMB24TT230150</t>
        </is>
      </c>
      <c r="B13" s="5" t="n"/>
      <c r="C13" s="6" t="n"/>
      <c r="D13" s="6" t="n"/>
      <c r="E13" s="6" t="n"/>
      <c r="F13" s="6" t="n"/>
    </row>
    <row r="14" hidden="1">
      <c r="A14" s="4" t="inlineStr">
        <is>
          <t xml:space="preserve">
3C4PJMB26TT283206
</t>
        </is>
      </c>
      <c r="B14" s="4" t="inlineStr">
        <is>
          <t>T26DK034600339</t>
        </is>
      </c>
      <c r="C14" s="3" t="n"/>
      <c r="D14" s="3" t="n"/>
      <c r="E14" s="3" t="n"/>
      <c r="F14" s="3" t="n"/>
    </row>
    <row r="15">
      <c r="A15" s="2" t="inlineStr">
        <is>
          <t>3C4PJMB22TT264636</t>
        </is>
      </c>
      <c r="B15" s="4" t="inlineStr">
        <is>
          <t>T26DK085600414</t>
        </is>
      </c>
      <c r="C15" s="3" t="n">
        <v>1</v>
      </c>
      <c r="D15" s="3" t="n"/>
      <c r="E15" s="7" t="n">
        <v>1</v>
      </c>
      <c r="F15" s="3" t="inlineStr">
        <is>
          <t xml:space="preserve">NO EN TRACK </t>
        </is>
      </c>
      <c r="K15" s="69" t="n"/>
      <c r="L15" s="69" t="n"/>
      <c r="M15" s="69" t="n"/>
    </row>
    <row r="16" hidden="1">
      <c r="A16" s="2" t="inlineStr">
        <is>
          <t>3C4PJMC20TT286956</t>
        </is>
      </c>
      <c r="B16" s="4" t="n"/>
      <c r="C16" s="3" t="n"/>
      <c r="D16" s="3" t="n"/>
      <c r="E16" s="7" t="n">
        <v>1</v>
      </c>
      <c r="F16" s="3" t="inlineStr">
        <is>
          <t xml:space="preserve">NO EN TRACK </t>
        </is>
      </c>
      <c r="K16" s="69" t="inlineStr">
        <is>
          <t>Part Number:</t>
        </is>
      </c>
      <c r="L16" s="69" t="inlineStr">
        <is>
          <t>68541059AD</t>
        </is>
      </c>
    </row>
    <row r="17" hidden="1">
      <c r="A17" s="2" t="inlineStr">
        <is>
          <t>3C4PJMB20TT215130</t>
        </is>
      </c>
      <c r="B17" s="4" t="n"/>
      <c r="C17" s="3" t="n"/>
      <c r="D17" s="3" t="n"/>
      <c r="E17" s="7" t="n">
        <v>1</v>
      </c>
      <c r="F17" s="3" t="inlineStr">
        <is>
          <t xml:space="preserve">NO EN TRACK </t>
        </is>
      </c>
    </row>
    <row r="18">
      <c r="A18" s="2" t="n"/>
      <c r="B18" s="4" t="inlineStr">
        <is>
          <t>T26DK119600375</t>
        </is>
      </c>
      <c r="C18" s="13" t="n">
        <v>1</v>
      </c>
      <c r="D18" s="3" t="n"/>
      <c r="E18" s="3" t="n"/>
      <c r="F18" s="3" t="n"/>
    </row>
    <row r="19">
      <c r="A19" s="2" t="inlineStr">
        <is>
          <t>TT233787</t>
        </is>
      </c>
      <c r="B19" s="16" t="inlineStr">
        <is>
          <t>T26DK073600431</t>
        </is>
      </c>
      <c r="C19" s="13" t="n">
        <v>1</v>
      </c>
      <c r="D19" s="3" t="n"/>
      <c r="E19" s="3" t="n"/>
      <c r="F19" s="3" t="n"/>
    </row>
    <row r="20">
      <c r="A20" s="2" t="n"/>
      <c r="B20" s="4" t="inlineStr">
        <is>
          <t>T26DK107600315</t>
        </is>
      </c>
      <c r="C20" s="13" t="n">
        <v>1</v>
      </c>
      <c r="D20" s="3" t="n"/>
      <c r="E20" s="3" t="n"/>
      <c r="F20" s="3" t="n"/>
    </row>
    <row r="21">
      <c r="A21" s="2" t="inlineStr">
        <is>
          <t>TT230150</t>
        </is>
      </c>
      <c r="B21" s="4" t="inlineStr">
        <is>
          <t>T26DK120600170</t>
        </is>
      </c>
      <c r="C21" s="13" t="n">
        <v>1</v>
      </c>
      <c r="D21" s="3" t="n"/>
      <c r="E21" s="3" t="n"/>
      <c r="F21" s="3" t="n"/>
    </row>
    <row r="22">
      <c r="B22" s="16" t="n"/>
      <c r="C22" s="1">
        <f>SUM(C4:C21)</f>
        <v/>
      </c>
      <c r="D22" s="1">
        <f>SUM(D4:D21)</f>
        <v/>
      </c>
      <c r="E22" s="1">
        <f>SUM(E4:E21)</f>
        <v/>
      </c>
    </row>
    <row r="23">
      <c r="G23" t="inlineStr">
        <is>
          <t xml:space="preserve">TOTAL PIEZAS IDENTIFICADAS </t>
        </is>
      </c>
      <c r="H23">
        <f>SUM(C22:D22)</f>
        <v/>
      </c>
    </row>
    <row r="26">
      <c r="A26" t="n">
        <v>283206</v>
      </c>
      <c r="B26" s="22" t="inlineStr">
        <is>
          <t>Confirmar trazabilidad</t>
        </is>
      </c>
    </row>
    <row r="27">
      <c r="A27" t="n">
        <v>233661</v>
      </c>
      <c r="B27" s="22" t="inlineStr">
        <is>
          <t>Confirmar trazabilidad</t>
        </is>
      </c>
    </row>
    <row r="28">
      <c r="A28" t="n">
        <v>215130</v>
      </c>
      <c r="B28" t="inlineStr">
        <is>
          <t>Falta RDM</t>
        </is>
      </c>
    </row>
    <row r="29">
      <c r="A29" t="n">
        <v>286956</v>
      </c>
      <c r="B29" t="inlineStr">
        <is>
          <t>Falta RDM</t>
        </is>
      </c>
    </row>
    <row r="30">
      <c r="A30" t="n">
        <v>233787</v>
      </c>
      <c r="B30" t="inlineStr">
        <is>
          <t>Confirmar trazabilidad</t>
        </is>
      </c>
    </row>
    <row r="33">
      <c r="A33" t="n">
        <v>230150</v>
      </c>
      <c r="B33" t="inlineStr">
        <is>
          <t xml:space="preserve">cambio de arnes </t>
        </is>
      </c>
    </row>
    <row r="34">
      <c r="A34" t="n">
        <v>230540</v>
      </c>
      <c r="B34" t="inlineStr">
        <is>
          <t xml:space="preserve">cambio de arnes </t>
        </is>
      </c>
      <c r="C34" s="1" t="inlineStr">
        <is>
          <t xml:space="preserve">pines invertidos </t>
        </is>
      </c>
      <c r="D34" s="1" t="inlineStr">
        <is>
          <t>NCT 26 601603</t>
        </is>
      </c>
    </row>
  </sheetData>
  <autoFilter ref="A3:D23">
    <filterColumn colId="2" hiddenButton="0" showButton="1">
      <filters>
        <filter val="1"/>
      </filters>
    </filterColumn>
  </autoFilter>
  <mergeCells count="3">
    <mergeCell ref="A2:F2"/>
    <mergeCell ref="J2:K2"/>
    <mergeCell ref="M15:N1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 FERNANDA JOSEFINA GONZALEZ SALMON</dc:creator>
  <dcterms:created xsi:type="dcterms:W3CDTF">2026-06-06T20:02:47Z</dcterms:created>
  <dcterms:modified xsi:type="dcterms:W3CDTF">2026-07-30T05:56:44Z</dcterms:modified>
  <cp:lastModifiedBy>MARIA FERNANDA JOSEFINA GONZALEZ SALMON</cp:lastModifiedBy>
</cp:coreProperties>
</file>